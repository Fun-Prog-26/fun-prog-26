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aster - Master marks" sheetId="2" r:id="rId5"/>
    <sheet name="lab test 1 - lab test 1 (5%)" sheetId="3" r:id="rId6"/>
    <sheet name="lab test 2 - lab test 2 (5 %)" sheetId="4" r:id="rId7"/>
    <sheet name="Phase 1 - Programming Assignmen" sheetId="5" r:id="rId8"/>
    <sheet name="Programming Assignment 40% - Pr" sheetId="6" r:id="rId9"/>
  </sheets>
</workbook>
</file>

<file path=xl/sharedStrings.xml><?xml version="1.0" encoding="utf-8"?>
<sst xmlns="http://schemas.openxmlformats.org/spreadsheetml/2006/main" uniqueCount="202">
  <si>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</si>
  <si>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</si>
  <si>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</si>
  <si>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</si>
  <si>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master</t>
  </si>
  <si>
    <t>Master marks</t>
  </si>
  <si>
    <t>master - Master marks</t>
  </si>
  <si>
    <t>Surname</t>
  </si>
  <si>
    <t>First name</t>
  </si>
  <si>
    <t xml:space="preserve">lab test 1 (5%) </t>
  </si>
  <si>
    <t>lab test 2 5%</t>
  </si>
  <si>
    <t>Prog assign 40%</t>
  </si>
  <si>
    <t xml:space="preserve">Total  CA (%) </t>
  </si>
  <si>
    <t>Total  CA (50)</t>
  </si>
  <si>
    <t xml:space="preserve">Written Paper (%) </t>
  </si>
  <si>
    <t xml:space="preserve">Written Paper (50) </t>
  </si>
  <si>
    <t>Final Total</t>
  </si>
  <si>
    <t>Repeat Requirements</t>
  </si>
  <si>
    <t>Dawid</t>
  </si>
  <si>
    <t>Beres</t>
  </si>
  <si>
    <r>
      <rPr>
        <u val="single"/>
        <sz val="12"/>
        <color indexed="11"/>
        <rFont val="Calibri"/>
      </rPr>
      <t>20098868@mail.wit.ie</t>
    </r>
  </si>
  <si>
    <t>Repeat Programming Assignment and FP</t>
  </si>
  <si>
    <t>Jan</t>
  </si>
  <si>
    <t>Biernacki</t>
  </si>
  <si>
    <r>
      <rPr>
        <u val="single"/>
        <sz val="12"/>
        <color indexed="11"/>
        <rFont val="Calibri"/>
      </rPr>
      <t>20098580@mail.wit.ie</t>
    </r>
  </si>
  <si>
    <t>Arthur</t>
  </si>
  <si>
    <t>Bilyk</t>
  </si>
  <si>
    <r>
      <rPr>
        <u val="single"/>
        <sz val="12"/>
        <color indexed="11"/>
        <rFont val="Calibri"/>
      </rPr>
      <t>20097938@mail.wit.ie</t>
    </r>
  </si>
  <si>
    <t>Adam</t>
  </si>
  <si>
    <t>Cahill</t>
  </si>
  <si>
    <r>
      <rPr>
        <u val="single"/>
        <sz val="12"/>
        <color indexed="11"/>
        <rFont val="Calibri"/>
      </rPr>
      <t>20097733@mail.wit.ie</t>
    </r>
  </si>
  <si>
    <t>Dylan</t>
  </si>
  <si>
    <t>Chai</t>
  </si>
  <si>
    <r>
      <rPr>
        <u val="single"/>
        <sz val="12"/>
        <color indexed="11"/>
        <rFont val="Calibri"/>
      </rPr>
      <t>20099297@mail.wit.ie</t>
    </r>
  </si>
  <si>
    <t>Rendijs</t>
  </si>
  <si>
    <t>Cielava</t>
  </si>
  <si>
    <r>
      <rPr>
        <u val="single"/>
        <sz val="12"/>
        <color indexed="11"/>
        <rFont val="Calibri"/>
      </rPr>
      <t>20098325@mail.wit.ie</t>
    </r>
  </si>
  <si>
    <t>Liam</t>
  </si>
  <si>
    <t>Doocey</t>
  </si>
  <si>
    <r>
      <rPr>
        <u val="single"/>
        <sz val="12"/>
        <color indexed="11"/>
        <rFont val="Calibri"/>
      </rPr>
      <t>20094146@mail.wit.ie</t>
    </r>
  </si>
  <si>
    <t>Dean</t>
  </si>
  <si>
    <t>Doyle</t>
  </si>
  <si>
    <r>
      <rPr>
        <u val="single"/>
        <sz val="12"/>
        <color indexed="11"/>
        <rFont val="Calibri"/>
      </rPr>
      <t>20096595@mail.wit.ie</t>
    </r>
  </si>
  <si>
    <t>Alex</t>
  </si>
  <si>
    <t>Fan</t>
  </si>
  <si>
    <r>
      <rPr>
        <u val="single"/>
        <sz val="12"/>
        <color indexed="11"/>
        <rFont val="Calibri"/>
      </rPr>
      <t>20077347@mail.wit.ie</t>
    </r>
  </si>
  <si>
    <t>Repeat CA and FP</t>
  </si>
  <si>
    <t>Thomas</t>
  </si>
  <si>
    <t>Farrell</t>
  </si>
  <si>
    <r>
      <rPr>
        <u val="single"/>
        <sz val="12"/>
        <color indexed="11"/>
        <rFont val="Calibri"/>
      </rPr>
      <t>20083540@mail.wit.ie</t>
    </r>
  </si>
  <si>
    <t>Jordan</t>
  </si>
  <si>
    <t>Flynn</t>
  </si>
  <si>
    <r>
      <rPr>
        <u val="single"/>
        <sz val="12"/>
        <color indexed="11"/>
        <rFont val="Calibri"/>
      </rPr>
      <t>20096714@mail.wit.ie</t>
    </r>
  </si>
  <si>
    <r>
      <rPr>
        <u val="single"/>
        <sz val="12"/>
        <color indexed="11"/>
        <rFont val="Calibri"/>
      </rPr>
      <t>20098690@mail.wit.ie</t>
    </r>
  </si>
  <si>
    <t>Kyla</t>
  </si>
  <si>
    <t>Franks</t>
  </si>
  <si>
    <r>
      <rPr>
        <u val="single"/>
        <sz val="12"/>
        <color indexed="11"/>
        <rFont val="Calibri"/>
      </rPr>
      <t>20098155@mail.wit.ie</t>
    </r>
  </si>
  <si>
    <t>Gjorgi</t>
  </si>
  <si>
    <t>Gjorgiev</t>
  </si>
  <si>
    <r>
      <rPr>
        <u val="single"/>
        <sz val="12"/>
        <color indexed="11"/>
        <rFont val="Calibri"/>
      </rPr>
      <t>20098721@mail.wit.ie</t>
    </r>
  </si>
  <si>
    <t>Brought to 35 - passed by compensation</t>
  </si>
  <si>
    <t>Killian</t>
  </si>
  <si>
    <t>Golds</t>
  </si>
  <si>
    <r>
      <rPr>
        <u val="single"/>
        <sz val="12"/>
        <color indexed="11"/>
        <rFont val="Calibri"/>
      </rPr>
      <t>20070585@mail.wit.ie</t>
    </r>
  </si>
  <si>
    <t>Evan</t>
  </si>
  <si>
    <t>Hearne</t>
  </si>
  <si>
    <r>
      <rPr>
        <u val="single"/>
        <sz val="12"/>
        <color indexed="11"/>
        <rFont val="Calibri"/>
      </rPr>
      <t>20097562@mail.wit.ie</t>
    </r>
  </si>
  <si>
    <t>Ciaran</t>
  </si>
  <si>
    <t>Hickey</t>
  </si>
  <si>
    <r>
      <rPr>
        <u val="single"/>
        <sz val="12"/>
        <color indexed="11"/>
        <rFont val="Calibri"/>
      </rPr>
      <t>20088959@mail.wit.ie</t>
    </r>
  </si>
  <si>
    <t>Mark</t>
  </si>
  <si>
    <t>Hogan</t>
  </si>
  <si>
    <r>
      <rPr>
        <u val="single"/>
        <sz val="12"/>
        <color indexed="11"/>
        <rFont val="Calibri"/>
      </rPr>
      <t>20098168@mail.wit.ie</t>
    </r>
  </si>
  <si>
    <t>Paolo</t>
  </si>
  <si>
    <t>Imbriani</t>
  </si>
  <si>
    <r>
      <rPr>
        <u val="single"/>
        <sz val="12"/>
        <color indexed="11"/>
        <rFont val="Calibri"/>
      </rPr>
      <t>imbriani.paolo@hotmail.com</t>
    </r>
  </si>
  <si>
    <t>Daniel</t>
  </si>
  <si>
    <t>Keane</t>
  </si>
  <si>
    <r>
      <rPr>
        <u val="single"/>
        <sz val="12"/>
        <color indexed="11"/>
        <rFont val="Calibri"/>
      </rPr>
      <t>20098745@mail.wit.ie</t>
    </r>
  </si>
  <si>
    <t>Andrew</t>
  </si>
  <si>
    <t>Koval</t>
  </si>
  <si>
    <r>
      <rPr>
        <u val="single"/>
        <sz val="12"/>
        <color indexed="11"/>
        <rFont val="Calibri"/>
      </rPr>
      <t>20098730@mail.wit.ie</t>
    </r>
  </si>
  <si>
    <t>?</t>
  </si>
  <si>
    <t>Jay</t>
  </si>
  <si>
    <t>Langford</t>
  </si>
  <si>
    <r>
      <rPr>
        <u val="single"/>
        <sz val="12"/>
        <color indexed="11"/>
        <rFont val="Calibri"/>
      </rPr>
      <t>20098918@mail.wit.ie</t>
    </r>
  </si>
  <si>
    <t>Lawton</t>
  </si>
  <si>
    <r>
      <rPr>
        <u val="single"/>
        <sz val="12"/>
        <color indexed="11"/>
        <rFont val="Calibri"/>
      </rPr>
      <t>20084608@mail.wit.ie</t>
    </r>
  </si>
  <si>
    <t>Denis</t>
  </si>
  <si>
    <t>Marincas</t>
  </si>
  <si>
    <r>
      <rPr>
        <u val="single"/>
        <sz val="12"/>
        <color indexed="11"/>
        <rFont val="Calibri"/>
      </rPr>
      <t>20099160@mail.wit.ie</t>
    </r>
  </si>
  <si>
    <t>Brendan</t>
  </si>
  <si>
    <t>Mayer</t>
  </si>
  <si>
    <r>
      <rPr>
        <u val="single"/>
        <sz val="12"/>
        <color indexed="11"/>
        <rFont val="Calibri"/>
      </rPr>
      <t>20097866@mail.wit.ie</t>
    </r>
  </si>
  <si>
    <t>Mc Namara</t>
  </si>
  <si>
    <r>
      <rPr>
        <u val="single"/>
        <sz val="12"/>
        <color indexed="11"/>
        <rFont val="Calibri"/>
      </rPr>
      <t>20092433@mail.wit.ie</t>
    </r>
  </si>
  <si>
    <t>Sean</t>
  </si>
  <si>
    <t>Mercier</t>
  </si>
  <si>
    <r>
      <rPr>
        <u val="single"/>
        <sz val="12"/>
        <color indexed="11"/>
        <rFont val="Calibri"/>
      </rPr>
      <t>20094677@mail.wit.ie</t>
    </r>
  </si>
  <si>
    <t>Miculescu</t>
  </si>
  <si>
    <r>
      <rPr>
        <u val="single"/>
        <sz val="12"/>
        <color indexed="11"/>
        <rFont val="Calibri"/>
      </rPr>
      <t>20098078@mail.wit.ie</t>
    </r>
  </si>
  <si>
    <t>Mustafe</t>
  </si>
  <si>
    <t>Mohamoud</t>
  </si>
  <si>
    <r>
      <rPr>
        <u val="single"/>
        <sz val="12"/>
        <color indexed="11"/>
        <rFont val="Calibri"/>
      </rPr>
      <t>20088394@mail.wit.ie</t>
    </r>
  </si>
  <si>
    <t>Barry</t>
  </si>
  <si>
    <t>Nolan</t>
  </si>
  <si>
    <r>
      <rPr>
        <u val="single"/>
        <sz val="12"/>
        <color indexed="11"/>
        <rFont val="Calibri"/>
      </rPr>
      <t>20098637@mail.wit.ie</t>
    </r>
  </si>
  <si>
    <t>O Connor</t>
  </si>
  <si>
    <r>
      <rPr>
        <u val="single"/>
        <sz val="12"/>
        <color indexed="11"/>
        <rFont val="Calibri"/>
      </rPr>
      <t>20098583@mail.wit.ie</t>
    </r>
  </si>
  <si>
    <t>Anthony</t>
  </si>
  <si>
    <t>Power</t>
  </si>
  <si>
    <r>
      <rPr>
        <u val="single"/>
        <sz val="12"/>
        <color indexed="11"/>
        <rFont val="Calibri"/>
      </rPr>
      <t>20098384@mail.wit.ie</t>
    </r>
  </si>
  <si>
    <t>Ryan</t>
  </si>
  <si>
    <r>
      <rPr>
        <u val="single"/>
        <sz val="12"/>
        <color indexed="11"/>
        <rFont val="Calibri"/>
      </rPr>
      <t>20098241@mail.wit.ie</t>
    </r>
  </si>
  <si>
    <t>Sinnott</t>
  </si>
  <si>
    <r>
      <rPr>
        <u val="single"/>
        <sz val="12"/>
        <color indexed="11"/>
        <rFont val="Calibri"/>
      </rPr>
      <t>20067691@mail.wit.ie</t>
    </r>
  </si>
  <si>
    <t>Adrian</t>
  </si>
  <si>
    <t>Strymer</t>
  </si>
  <si>
    <r>
      <rPr>
        <u val="single"/>
        <sz val="12"/>
        <color indexed="11"/>
        <rFont val="Calibri"/>
      </rPr>
      <t>20097873@mail.wit.ie</t>
    </r>
  </si>
  <si>
    <t>Sam</t>
  </si>
  <si>
    <t>Taylor</t>
  </si>
  <si>
    <t xml:space="preserve">Evan </t>
  </si>
  <si>
    <t>Tynan Geary</t>
  </si>
  <si>
    <t>Grantas</t>
  </si>
  <si>
    <t>Valiukas</t>
  </si>
  <si>
    <t>Donal</t>
  </si>
  <si>
    <t>Wall</t>
  </si>
  <si>
    <t xml:space="preserve">Shane </t>
  </si>
  <si>
    <t>Whitmore</t>
  </si>
  <si>
    <t>lab test 1</t>
  </si>
  <si>
    <t>lab test 1 (5%)</t>
  </si>
  <si>
    <t>lab test 1 - lab test 1 (5%)</t>
  </si>
  <si>
    <t>Section C- Fixing Errors File</t>
  </si>
  <si>
    <t>Section A - Precedence - 30 Marks</t>
  </si>
  <si>
    <t>Sec B - Types - 30 Marks</t>
  </si>
  <si>
    <t>Total</t>
  </si>
  <si>
    <t>Number correct out of 10</t>
  </si>
  <si>
    <t>Out of 40</t>
  </si>
  <si>
    <t>Out of 6</t>
  </si>
  <si>
    <t>Out of 30</t>
  </si>
  <si>
    <t>How many correct out of 7</t>
  </si>
  <si>
    <t>FirstName</t>
  </si>
  <si>
    <t>SurName</t>
  </si>
  <si>
    <t>Did not make any changes to class_test_fixing_errors_file2</t>
  </si>
  <si>
    <t>lab test 2</t>
  </si>
  <si>
    <t>lab test 2 (5 %)</t>
  </si>
  <si>
    <t>lab test 2 - lab test 2 (5 %)</t>
  </si>
  <si>
    <t>Stack Structure</t>
  </si>
  <si>
    <t>Working Program</t>
  </si>
  <si>
    <t>Anagram</t>
  </si>
  <si>
    <t>UpperCase</t>
  </si>
  <si>
    <t>Src and app used appropriately</t>
  </si>
  <si>
    <t xml:space="preserve">Properties.yaml changed appropriately (e.g. dependencies only in </t>
  </si>
  <si>
    <t xml:space="preserve">Comment </t>
  </si>
  <si>
    <t xml:space="preserve">Phase 1 - Programming Assignment </t>
  </si>
  <si>
    <t>Formative Assessment (0%)</t>
  </si>
  <si>
    <t>Phase 1 - Programming Assignmen</t>
  </si>
  <si>
    <t xml:space="preserve"> </t>
  </si>
  <si>
    <t>Comment</t>
  </si>
  <si>
    <t>Programming Assignment 40%</t>
  </si>
  <si>
    <t>Programming Assignment 40% - Pr</t>
  </si>
  <si>
    <t>Appropriateness of data design (13%)</t>
  </si>
  <si>
    <t>Validations (38%)</t>
  </si>
  <si>
    <t>Generation of Documents (27%)</t>
  </si>
  <si>
    <t>Programming Style (13%)</t>
  </si>
  <si>
    <t>Documentation (6%)</t>
  </si>
  <si>
    <t>Entities</t>
  </si>
  <si>
    <t>Data Types</t>
  </si>
  <si>
    <t>Csv files</t>
  </si>
  <si>
    <t>Entity fields(including primary key) (18%)</t>
  </si>
  <si>
    <t>Foreign Keys (4%)</t>
  </si>
  <si>
    <t>Allocations (3%)</t>
  </si>
  <si>
    <t>Timetable(16%)</t>
  </si>
  <si>
    <t xml:space="preserve">Csv files / entities(12 %) </t>
  </si>
  <si>
    <t>Timetables (15%)</t>
  </si>
  <si>
    <t xml:space="preserve">Stack structure </t>
  </si>
  <si>
    <t>properties.yaml (dependencies tidied up - in library: and executables:  as appropriate</t>
  </si>
  <si>
    <t>Breakdown of functionality into cohesive functions and files</t>
  </si>
  <si>
    <t>Elegance of code including Haskell idiom</t>
  </si>
  <si>
    <t>GitHub Classroom commits and messages</t>
  </si>
  <si>
    <t xml:space="preserve">Readme.md reflection on process </t>
  </si>
  <si>
    <t xml:space="preserve">Extras (wow) </t>
  </si>
  <si>
    <t xml:space="preserve">Total </t>
  </si>
  <si>
    <t>Interview</t>
  </si>
  <si>
    <t>Lecturer</t>
  </si>
  <si>
    <t>Course</t>
  </si>
  <si>
    <t>Rooms</t>
  </si>
  <si>
    <t>Groups</t>
  </si>
  <si>
    <t>Modules</t>
  </si>
  <si>
    <t>Programmes</t>
  </si>
  <si>
    <t>Allocations</t>
  </si>
  <si>
    <t xml:space="preserve">Lecturer is allocated &lt;= hours as per ‘Available hours) </t>
  </si>
  <si>
    <t>No clashes for Groups</t>
  </si>
  <si>
    <t>No clashes for Lecturers</t>
  </si>
  <si>
    <t>No clashes for Rooms</t>
  </si>
  <si>
    <t>Module fully timetabled</t>
  </si>
  <si>
    <t>Report on csv files</t>
  </si>
  <si>
    <t xml:space="preserve">Report on allocation </t>
  </si>
  <si>
    <t>Report on timetable</t>
  </si>
  <si>
    <t xml:space="preserve">Timetable for Groups (students) </t>
  </si>
  <si>
    <t>Timetable for Lecturers</t>
  </si>
  <si>
    <t>Timetable for Rooms</t>
  </si>
</sst>
</file>

<file path=xl/styles.xml><?xml version="1.0" encoding="utf-8"?>
<styleSheet xmlns="http://schemas.openxmlformats.org/spreadsheetml/2006/main">
  <numFmts count="2">
    <numFmt numFmtId="0" formatCode="General"/>
    <numFmt numFmtId="59" formatCode="0.0"/>
  </numFmts>
  <fonts count="12">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0"/>
      <color indexed="8"/>
      <name val="Arial"/>
    </font>
    <font>
      <b val="1"/>
      <sz val="11"/>
      <color indexed="8"/>
      <name val="Calibri"/>
    </font>
    <font>
      <sz val="13"/>
      <color indexed="8"/>
      <name val="Arial"/>
    </font>
    <font>
      <sz val="11"/>
      <color indexed="8"/>
      <name val="Helvetica Neue"/>
    </font>
    <font>
      <b val="1"/>
      <u val="single"/>
      <sz val="11"/>
      <color indexed="8"/>
      <name val="Calibri"/>
    </font>
    <font>
      <sz val="10"/>
      <color indexed="8"/>
      <name val="Arial"/>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s>
  <borders count="39">
    <border>
      <left/>
      <right/>
      <top/>
      <bottom/>
      <diagonal/>
    </border>
    <border>
      <left style="thin">
        <color indexed="13"/>
      </left>
      <right style="thin">
        <color indexed="14"/>
      </right>
      <top style="thin">
        <color indexed="13"/>
      </top>
      <bottom style="thin">
        <color indexed="14"/>
      </bottom>
      <diagonal/>
    </border>
    <border>
      <left style="thin">
        <color indexed="14"/>
      </left>
      <right style="thin">
        <color indexed="14"/>
      </right>
      <top style="thin">
        <color indexed="13"/>
      </top>
      <bottom style="thin">
        <color indexed="14"/>
      </bottom>
      <diagonal/>
    </border>
    <border>
      <left style="thin">
        <color indexed="14"/>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3"/>
      </right>
      <top style="thin">
        <color indexed="14"/>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6"/>
      </left>
      <right style="thin">
        <color indexed="16"/>
      </right>
      <top style="thin">
        <color indexed="16"/>
      </top>
      <bottom style="thin">
        <color indexed="16"/>
      </bottom>
      <diagonal/>
    </border>
    <border>
      <left style="thin">
        <color indexed="16"/>
      </left>
      <right style="thin">
        <color indexed="16"/>
      </right>
      <top style="thin">
        <color indexed="16"/>
      </top>
      <bottom style="thin">
        <color indexed="18"/>
      </bottom>
      <diagonal/>
    </border>
    <border>
      <left style="thin">
        <color indexed="16"/>
      </left>
      <right style="thin">
        <color indexed="16"/>
      </right>
      <top style="thin">
        <color indexed="18"/>
      </top>
      <bottom style="thin">
        <color indexed="16"/>
      </bottom>
      <diagonal/>
    </border>
    <border>
      <left style="thin">
        <color indexed="16"/>
      </left>
      <right style="thin">
        <color indexed="18"/>
      </right>
      <top style="thin">
        <color indexed="18"/>
      </top>
      <bottom style="thin">
        <color indexed="16"/>
      </bottom>
      <diagonal/>
    </border>
    <border>
      <left style="thin">
        <color indexed="18"/>
      </left>
      <right style="thin">
        <color indexed="16"/>
      </right>
      <top style="thin">
        <color indexed="18"/>
      </top>
      <bottom style="thin">
        <color indexed="16"/>
      </bottom>
      <diagonal/>
    </border>
    <border>
      <left style="thin">
        <color indexed="16"/>
      </left>
      <right style="thin">
        <color indexed="18"/>
      </right>
      <top style="thin">
        <color indexed="16"/>
      </top>
      <bottom style="thin">
        <color indexed="16"/>
      </bottom>
      <diagonal/>
    </border>
    <border>
      <left style="thin">
        <color indexed="18"/>
      </left>
      <right style="thin">
        <color indexed="16"/>
      </right>
      <top style="thin">
        <color indexed="16"/>
      </top>
      <bottom style="thin">
        <color indexed="16"/>
      </bottom>
      <diagonal/>
    </border>
    <border>
      <left style="thin">
        <color indexed="16"/>
      </left>
      <right style="thin">
        <color indexed="8"/>
      </right>
      <top style="thin">
        <color indexed="16"/>
      </top>
      <bottom style="thin">
        <color indexed="16"/>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6"/>
      </top>
      <bottom style="thin">
        <color indexed="8"/>
      </bottom>
      <diagonal/>
    </border>
    <border>
      <left style="thin">
        <color indexed="8"/>
      </left>
      <right style="thin">
        <color indexed="16"/>
      </right>
      <top style="thin">
        <color indexed="8"/>
      </top>
      <bottom style="thin">
        <color indexed="8"/>
      </bottom>
      <diagonal/>
    </border>
    <border>
      <left style="thin">
        <color indexed="16"/>
      </left>
      <right style="thin">
        <color indexed="8"/>
      </right>
      <top style="thin">
        <color indexed="8"/>
      </top>
      <bottom style="thin">
        <color indexed="8"/>
      </bottom>
      <diagonal/>
    </border>
    <border>
      <left style="thin">
        <color indexed="8"/>
      </left>
      <right style="thin">
        <color indexed="16"/>
      </right>
      <top style="thin">
        <color indexed="16"/>
      </top>
      <bottom style="thin">
        <color indexed="16"/>
      </bottom>
      <diagonal/>
    </border>
    <border>
      <left style="thin">
        <color indexed="8"/>
      </left>
      <right style="thin">
        <color indexed="8"/>
      </right>
      <top style="thin">
        <color indexed="18"/>
      </top>
      <bottom style="thin">
        <color indexed="8"/>
      </bottom>
      <diagonal/>
    </border>
    <border>
      <left style="thin">
        <color indexed="16"/>
      </left>
      <right style="thin">
        <color indexed="16"/>
      </right>
      <top style="thin">
        <color indexed="8"/>
      </top>
      <bottom style="thin">
        <color indexed="18"/>
      </bottom>
      <diagonal/>
    </border>
    <border>
      <left style="thin">
        <color indexed="16"/>
      </left>
      <right style="thin">
        <color indexed="8"/>
      </right>
      <top style="thin">
        <color indexed="8"/>
      </top>
      <bottom style="thin">
        <color indexed="18"/>
      </bottom>
      <diagonal/>
    </border>
    <border>
      <left style="thin">
        <color indexed="8"/>
      </left>
      <right style="thin">
        <color indexed="8"/>
      </right>
      <top style="thin">
        <color indexed="8"/>
      </top>
      <bottom style="thin">
        <color indexed="18"/>
      </bottom>
      <diagonal/>
    </border>
    <border>
      <left style="thin">
        <color indexed="8"/>
      </left>
      <right style="thin">
        <color indexed="16"/>
      </right>
      <top style="thin">
        <color indexed="16"/>
      </top>
      <bottom style="thin">
        <color indexed="18"/>
      </bottom>
      <diagonal/>
    </border>
    <border>
      <left style="thin">
        <color indexed="16"/>
      </left>
      <right style="thin">
        <color indexed="8"/>
      </right>
      <top style="thin">
        <color indexed="18"/>
      </top>
      <bottom style="thin">
        <color indexed="16"/>
      </bottom>
      <diagonal/>
    </border>
    <border>
      <left style="thin">
        <color indexed="8"/>
      </left>
      <right style="thin">
        <color indexed="8"/>
      </right>
      <top style="thin">
        <color indexed="18"/>
      </top>
      <bottom style="thin">
        <color indexed="17"/>
      </bottom>
      <diagonal/>
    </border>
    <border>
      <left style="thin">
        <color indexed="8"/>
      </left>
      <right style="thin">
        <color indexed="16"/>
      </right>
      <top style="thin">
        <color indexed="18"/>
      </top>
      <bottom style="thin">
        <color indexed="16"/>
      </bottom>
      <diagonal/>
    </border>
    <border>
      <left style="thin">
        <color indexed="8"/>
      </left>
      <right style="thin">
        <color indexed="17"/>
      </right>
      <top style="thin">
        <color indexed="8"/>
      </top>
      <bottom style="thin">
        <color indexed="8"/>
      </bottom>
      <diagonal/>
    </border>
    <border>
      <left style="thin">
        <color indexed="17"/>
      </left>
      <right style="thin">
        <color indexed="17"/>
      </right>
      <top style="thin">
        <color indexed="17"/>
      </top>
      <bottom style="thin">
        <color indexed="16"/>
      </bottom>
      <diagonal/>
    </border>
    <border>
      <left style="thin">
        <color indexed="17"/>
      </left>
      <right style="thin">
        <color indexed="8"/>
      </right>
      <top style="thin">
        <color indexed="8"/>
      </top>
      <bottom style="thin">
        <color indexed="8"/>
      </bottom>
      <diagonal/>
    </border>
    <border>
      <left style="thin">
        <color indexed="17"/>
      </left>
      <right style="thin">
        <color indexed="17"/>
      </right>
      <top style="thin">
        <color indexed="16"/>
      </top>
      <bottom style="thin">
        <color indexed="16"/>
      </bottom>
      <diagonal/>
    </border>
    <border>
      <left style="thin">
        <color indexed="17"/>
      </left>
      <right style="thin">
        <color indexed="17"/>
      </right>
      <top style="thin">
        <color indexed="16"/>
      </top>
      <bottom style="thin">
        <color indexed="17"/>
      </bottom>
      <diagonal/>
    </border>
    <border>
      <left style="thin">
        <color indexed="8"/>
      </left>
      <right style="thin">
        <color indexed="8"/>
      </right>
      <top style="thin">
        <color indexed="17"/>
      </top>
      <bottom style="thin">
        <color indexed="16"/>
      </bottom>
      <diagonal/>
    </border>
    <border>
      <left style="thin">
        <color indexed="8"/>
      </left>
      <right style="thin">
        <color indexed="8"/>
      </right>
      <top style="thin">
        <color indexed="16"/>
      </top>
      <bottom style="thin">
        <color indexed="16"/>
      </bottom>
      <diagonal/>
    </border>
    <border>
      <left style="thin">
        <color indexed="16"/>
      </left>
      <right style="thin">
        <color indexed="16"/>
      </right>
      <top style="thin">
        <color indexed="8"/>
      </top>
      <bottom style="thin">
        <color indexed="16"/>
      </bottom>
      <diagonal/>
    </border>
  </borders>
  <cellStyleXfs count="1">
    <xf numFmtId="0" fontId="0" applyNumberFormat="0" applyFont="1" applyFill="0" applyBorder="0" applyAlignment="1" applyProtection="0">
      <alignment vertical="bottom"/>
    </xf>
  </cellStyleXfs>
  <cellXfs count="17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49" fontId="6" fillId="4" borderId="1" applyNumberFormat="1" applyFont="1" applyFill="1" applyBorder="1" applyAlignment="1" applyProtection="0">
      <alignment vertical="bottom"/>
    </xf>
    <xf numFmtId="0" fontId="7" fillId="4" borderId="2" applyNumberFormat="0" applyFont="1" applyFill="1"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6" fillId="4" borderId="4" applyNumberFormat="1" applyFont="1" applyFill="1" applyBorder="1" applyAlignment="1" applyProtection="0">
      <alignment vertical="bottom"/>
    </xf>
    <xf numFmtId="0" fontId="7" fillId="4" borderId="5" applyNumberFormat="0" applyFont="1" applyFill="1"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7" fillId="4" borderId="4" applyNumberFormat="0" applyFont="1" applyFill="1" applyBorder="1" applyAlignment="1" applyProtection="0">
      <alignment vertical="bottom"/>
    </xf>
    <xf numFmtId="49" fontId="6" fillId="4" borderId="5" applyNumberFormat="1" applyFont="1" applyFill="1" applyBorder="1" applyAlignment="1" applyProtection="0">
      <alignment vertical="bottom"/>
    </xf>
    <xf numFmtId="0" fontId="0" borderId="5" applyNumberFormat="0" applyFont="1" applyFill="0" applyBorder="1" applyAlignment="1" applyProtection="0">
      <alignment horizontal="center" vertical="bottom" wrapText="1"/>
    </xf>
    <xf numFmtId="49" fontId="0" borderId="5" applyNumberFormat="1" applyFont="1" applyFill="0" applyBorder="1" applyAlignment="1" applyProtection="0">
      <alignment horizontal="center" vertical="bottom" wrapText="1"/>
    </xf>
    <xf numFmtId="49" fontId="0" borderId="6" applyNumberFormat="1" applyFont="1" applyFill="0" applyBorder="1" applyAlignment="1" applyProtection="0">
      <alignment horizontal="center" vertical="bottom" wrapText="1"/>
    </xf>
    <xf numFmtId="0" fontId="0" borderId="5" applyNumberFormat="1" applyFont="1" applyFill="0" applyBorder="1" applyAlignment="1" applyProtection="0">
      <alignment horizontal="center" vertical="bottom" wrapText="1"/>
    </xf>
    <xf numFmtId="59" fontId="0" borderId="5" applyNumberFormat="1" applyFont="1" applyFill="0" applyBorder="1" applyAlignment="1" applyProtection="0">
      <alignment horizontal="center" vertical="bottom" wrapText="1"/>
    </xf>
    <xf numFmtId="0" fontId="0" borderId="6" applyNumberFormat="0" applyFont="1" applyFill="0" applyBorder="1" applyAlignment="1" applyProtection="0">
      <alignment horizontal="center" vertical="bottom" wrapText="1"/>
    </xf>
    <xf numFmtId="49" fontId="1" borderId="4" applyNumberFormat="1" applyFont="1" applyFill="0" applyBorder="1" applyAlignment="1" applyProtection="0">
      <alignment horizontal="left" vertical="center"/>
    </xf>
    <xf numFmtId="49" fontId="1" borderId="5" applyNumberFormat="1" applyFont="1" applyFill="0" applyBorder="1" applyAlignment="1" applyProtection="0">
      <alignment horizontal="left" vertical="center"/>
    </xf>
    <xf numFmtId="0" fontId="0" borderId="5" applyNumberFormat="1" applyFont="1" applyFill="0" applyBorder="1" applyAlignment="1" applyProtection="0">
      <alignment vertical="bottom"/>
    </xf>
    <xf numFmtId="59" fontId="0" borderId="5" applyNumberFormat="1" applyFont="1" applyFill="0" applyBorder="1" applyAlignment="1" applyProtection="0">
      <alignment vertical="bottom"/>
    </xf>
    <xf numFmtId="49" fontId="0" borderId="6" applyNumberFormat="1" applyFont="1" applyFill="0" applyBorder="1" applyAlignment="1" applyProtection="0">
      <alignment vertical="bottom"/>
    </xf>
    <xf numFmtId="0" fontId="0" borderId="5" applyNumberFormat="0" applyFont="1" applyFill="0" applyBorder="1" applyAlignment="1" applyProtection="0">
      <alignment horizontal="center" vertical="bottom"/>
    </xf>
    <xf numFmtId="0" fontId="0" borderId="5" applyNumberFormat="1" applyFont="1" applyFill="0" applyBorder="1" applyAlignment="1" applyProtection="0">
      <alignment horizontal="center" vertical="bottom"/>
    </xf>
    <xf numFmtId="0" fontId="0" borderId="6" applyNumberFormat="0" applyFont="1" applyFill="0" applyBorder="1" applyAlignment="1" applyProtection="0">
      <alignment horizontal="center" vertical="bottom"/>
    </xf>
    <xf numFmtId="0" fontId="8" borderId="5" applyNumberFormat="0" applyFont="1" applyFill="0" applyBorder="1" applyAlignment="1" applyProtection="0">
      <alignment vertical="bottom" readingOrder="1"/>
    </xf>
    <xf numFmtId="49" fontId="6" borderId="4" applyNumberFormat="1" applyFont="1" applyFill="0" applyBorder="1" applyAlignment="1" applyProtection="0">
      <alignment vertical="bottom"/>
    </xf>
    <xf numFmtId="49" fontId="6" borderId="5" applyNumberFormat="1" applyFont="1" applyFill="0" applyBorder="1" applyAlignment="1" applyProtection="0">
      <alignment vertical="bottom"/>
    </xf>
    <xf numFmtId="49" fontId="9" borderId="7" applyNumberFormat="1" applyFont="1" applyFill="0" applyBorder="1" applyAlignment="1" applyProtection="0">
      <alignment horizontal="left" vertical="bottom"/>
    </xf>
    <xf numFmtId="49" fontId="9" borderId="8" applyNumberFormat="1" applyFont="1" applyFill="0" applyBorder="1" applyAlignment="1" applyProtection="0">
      <alignment horizontal="left" vertical="bottom"/>
    </xf>
    <xf numFmtId="0" fontId="0" borderId="8" applyNumberFormat="0" applyFont="1" applyFill="0" applyBorder="1" applyAlignment="1" applyProtection="0">
      <alignment vertical="bottom"/>
    </xf>
    <xf numFmtId="0" fontId="0" borderId="8" applyNumberFormat="1"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0" applyNumberFormat="1" applyFont="1" applyFill="1" applyBorder="1" applyAlignment="1" applyProtection="0">
      <alignment vertical="bottom"/>
    </xf>
    <xf numFmtId="0" fontId="7" fillId="5" borderId="10" applyNumberFormat="0" applyFont="1" applyFill="1" applyBorder="1" applyAlignment="1" applyProtection="0">
      <alignment vertical="bottom"/>
    </xf>
    <xf numFmtId="49" fontId="0" fillId="6" borderId="10" applyNumberFormat="1" applyFont="1" applyFill="1" applyBorder="1" applyAlignment="1" applyProtection="0">
      <alignment horizontal="center" vertical="center" readingOrder="1"/>
    </xf>
    <xf numFmtId="0" fontId="0" fillId="6" borderId="10" applyNumberFormat="0" applyFont="1" applyFill="1" applyBorder="1" applyAlignment="1" applyProtection="0">
      <alignment horizontal="center" vertical="center" readingOrder="1"/>
    </xf>
    <xf numFmtId="49" fontId="0" fillId="6" borderId="10" applyNumberFormat="1" applyFont="1" applyFill="1" applyBorder="1" applyAlignment="1" applyProtection="0">
      <alignment horizontal="left" vertical="center" wrapText="1" readingOrder="1"/>
    </xf>
    <xf numFmtId="2" fontId="0" fillId="6" borderId="10" applyNumberFormat="1" applyFont="1" applyFill="1" applyBorder="1" applyAlignment="1" applyProtection="0">
      <alignment vertical="center" wrapText="1" readingOrder="1"/>
    </xf>
    <xf numFmtId="0" fontId="0" fillId="6" borderId="10" applyNumberFormat="0" applyFont="1" applyFill="1" applyBorder="1" applyAlignment="1" applyProtection="0">
      <alignment vertical="center" wrapText="1" readingOrder="1"/>
    </xf>
    <xf numFmtId="0" fontId="7" fillId="6" borderId="10" applyNumberFormat="1" applyFont="1" applyFill="1" applyBorder="1" applyAlignment="1" applyProtection="0">
      <alignment vertical="center" readingOrder="1"/>
    </xf>
    <xf numFmtId="2" fontId="7" fillId="6" borderId="10" applyNumberFormat="1" applyFont="1" applyFill="1" applyBorder="1" applyAlignment="1" applyProtection="0">
      <alignment vertical="center" readingOrder="1"/>
    </xf>
    <xf numFmtId="49" fontId="6" fillId="5" borderId="11" applyNumberFormat="1" applyFont="1" applyFill="1" applyBorder="1" applyAlignment="1" applyProtection="0">
      <alignment vertical="bottom"/>
    </xf>
    <xf numFmtId="0" fontId="7" fillId="5" borderId="11" applyNumberFormat="0" applyFont="1" applyFill="1" applyBorder="1" applyAlignment="1" applyProtection="0">
      <alignment vertical="bottom"/>
    </xf>
    <xf numFmtId="2" fontId="7" fillId="5" borderId="11" applyNumberFormat="1" applyFont="1" applyFill="1" applyBorder="1" applyAlignment="1" applyProtection="0">
      <alignment vertical="bottom"/>
    </xf>
    <xf numFmtId="2" fontId="7" fillId="6" borderId="11" applyNumberFormat="1" applyFont="1" applyFill="1" applyBorder="1" applyAlignment="1" applyProtection="0">
      <alignment vertical="center" readingOrder="1"/>
    </xf>
    <xf numFmtId="0" fontId="7" fillId="4" borderId="12" applyNumberFormat="0" applyFont="1" applyFill="1" applyBorder="1" applyAlignment="1" applyProtection="0">
      <alignment vertical="bottom"/>
    </xf>
    <xf numFmtId="0" fontId="7" fillId="4" borderId="13" applyNumberFormat="0" applyFont="1" applyFill="1" applyBorder="1" applyAlignment="1" applyProtection="0">
      <alignment vertical="bottom"/>
    </xf>
    <xf numFmtId="0" fontId="0" borderId="14" applyNumberFormat="0" applyFont="1" applyFill="0" applyBorder="1" applyAlignment="1" applyProtection="0">
      <alignment vertical="bottom"/>
    </xf>
    <xf numFmtId="0" fontId="0" borderId="12" applyNumberFormat="0" applyFont="1" applyFill="0" applyBorder="1" applyAlignment="1" applyProtection="0">
      <alignment vertical="bottom"/>
    </xf>
    <xf numFmtId="2" fontId="0" fillId="6" borderId="12" applyNumberFormat="1" applyFont="1" applyFill="1" applyBorder="1" applyAlignment="1" applyProtection="0">
      <alignment vertical="center" readingOrder="1"/>
    </xf>
    <xf numFmtId="49" fontId="1" borderId="10" applyNumberFormat="1" applyFont="1" applyFill="0" applyBorder="1" applyAlignment="1" applyProtection="0">
      <alignment horizontal="left" vertical="center"/>
    </xf>
    <xf numFmtId="49" fontId="1" borderId="15" applyNumberFormat="1" applyFont="1" applyFill="0" applyBorder="1" applyAlignment="1" applyProtection="0">
      <alignment horizontal="left" vertical="center"/>
    </xf>
    <xf numFmtId="0" fontId="0" borderId="16" applyNumberFormat="1" applyFont="1" applyFill="0" applyBorder="1" applyAlignment="1" applyProtection="0">
      <alignment vertical="bottom"/>
    </xf>
    <xf numFmtId="0" fontId="0" fillId="6" borderId="10" applyNumberFormat="1" applyFont="1" applyFill="1" applyBorder="1" applyAlignment="1" applyProtection="0">
      <alignment vertical="center" readingOrder="1"/>
    </xf>
    <xf numFmtId="0" fontId="0" borderId="10" applyNumberFormat="1" applyFont="1" applyFill="0" applyBorder="1" applyAlignment="1" applyProtection="0">
      <alignment vertical="bottom"/>
    </xf>
    <xf numFmtId="2" fontId="0" fillId="6" borderId="10" applyNumberFormat="1" applyFont="1" applyFill="1" applyBorder="1" applyAlignment="1" applyProtection="0">
      <alignment vertical="center" readingOrder="1"/>
    </xf>
    <xf numFmtId="0" fontId="0" borderId="10" applyNumberFormat="0" applyFont="1" applyFill="0" applyBorder="1" applyAlignment="1" applyProtection="0">
      <alignment vertical="bottom"/>
    </xf>
    <xf numFmtId="0" fontId="0" borderId="16" applyNumberFormat="0" applyFont="1" applyFill="0" applyBorder="1" applyAlignment="1" applyProtection="0">
      <alignment vertical="bottom"/>
    </xf>
    <xf numFmtId="49" fontId="0" borderId="10" applyNumberFormat="1" applyFont="1" applyFill="0" applyBorder="1" applyAlignment="1" applyProtection="0">
      <alignment vertical="bottom"/>
    </xf>
    <xf numFmtId="0" fontId="0" borderId="10" applyNumberFormat="0" applyFont="1" applyFill="0" applyBorder="1" applyAlignment="1" applyProtection="0">
      <alignment vertical="bottom" wrapText="1"/>
    </xf>
    <xf numFmtId="0" fontId="0" fillId="7" borderId="10" applyNumberFormat="0" applyFont="1" applyFill="1" applyBorder="1" applyAlignment="1" applyProtection="0">
      <alignment vertical="bottom" wrapText="1"/>
    </xf>
    <xf numFmtId="49" fontId="9" borderId="10" applyNumberFormat="1" applyFont="1" applyFill="0" applyBorder="1" applyAlignment="1" applyProtection="0">
      <alignment horizontal="left" vertical="bottom"/>
    </xf>
    <xf numFmtId="49" fontId="9" borderId="15" applyNumberFormat="1" applyFont="1" applyFill="0" applyBorder="1" applyAlignment="1" applyProtection="0">
      <alignment horizontal="left" vertical="bottom"/>
    </xf>
    <xf numFmtId="0" fontId="1" borderId="16" applyNumberFormat="1" applyFont="1" applyFill="0" applyBorder="1" applyAlignment="1" applyProtection="0">
      <alignment horizontal="center" vertical="bottom"/>
    </xf>
    <xf numFmtId="49" fontId="9" borderId="10" applyNumberFormat="1" applyFont="1" applyFill="0" applyBorder="1" applyAlignment="1" applyProtection="0">
      <alignment horizontal="left" vertical="center"/>
    </xf>
    <xf numFmtId="49" fontId="9" borderId="15" applyNumberFormat="1" applyFont="1" applyFill="0" applyBorder="1" applyAlignment="1" applyProtection="0">
      <alignment horizontal="left" vertical="center"/>
    </xf>
    <xf numFmtId="0" fontId="0" applyNumberFormat="1" applyFont="1" applyFill="0" applyBorder="0" applyAlignment="1" applyProtection="0">
      <alignment vertical="bottom"/>
    </xf>
    <xf numFmtId="49" fontId="6" fillId="4" borderId="13" applyNumberFormat="1" applyFont="1" applyFill="1" applyBorder="1" applyAlignment="1" applyProtection="0">
      <alignment vertical="bottom"/>
    </xf>
    <xf numFmtId="49" fontId="0" borderId="12" applyNumberFormat="1" applyFont="1" applyFill="0" applyBorder="1" applyAlignment="1" applyProtection="0">
      <alignment vertical="bottom"/>
    </xf>
    <xf numFmtId="49" fontId="6" fillId="4" borderId="15" applyNumberFormat="1" applyFont="1" applyFill="1" applyBorder="1" applyAlignment="1" applyProtection="0">
      <alignment vertical="bottom"/>
    </xf>
    <xf numFmtId="49" fontId="0" borderId="10" applyNumberFormat="1" applyFont="1" applyFill="0" applyBorder="1" applyAlignment="1" applyProtection="0">
      <alignment vertical="bottom" wrapText="1"/>
    </xf>
    <xf numFmtId="49" fontId="6" borderId="16" applyNumberFormat="1" applyFont="1" applyFill="0" applyBorder="1" applyAlignment="1" applyProtection="0">
      <alignment vertical="bottom"/>
    </xf>
    <xf numFmtId="0" fontId="7" fillId="4" borderId="15" applyNumberFormat="0" applyFont="1" applyFill="1" applyBorder="1" applyAlignment="1" applyProtection="0">
      <alignment vertical="bottom"/>
    </xf>
    <xf numFmtId="49" fontId="1" borderId="16" applyNumberFormat="1" applyFont="1" applyFill="0" applyBorder="1" applyAlignment="1" applyProtection="0">
      <alignment horizontal="left" vertical="center"/>
    </xf>
    <xf numFmtId="49" fontId="9" borderId="16" applyNumberFormat="1" applyFont="1" applyFill="0" applyBorder="1" applyAlignment="1" applyProtection="0">
      <alignment horizontal="left" vertical="bottom"/>
    </xf>
    <xf numFmtId="0" fontId="0" applyNumberFormat="1" applyFont="1" applyFill="0" applyBorder="0" applyAlignment="1" applyProtection="0">
      <alignment vertical="bottom"/>
    </xf>
    <xf numFmtId="49" fontId="7" fillId="5" borderId="10" applyNumberFormat="1" applyFont="1" applyFill="1" applyBorder="1" applyAlignment="1" applyProtection="0">
      <alignment horizontal="center" vertical="bottom"/>
    </xf>
    <xf numFmtId="0" fontId="7" fillId="5" borderId="10" applyNumberFormat="0" applyFont="1" applyFill="1" applyBorder="1" applyAlignment="1" applyProtection="0">
      <alignment horizontal="center" vertical="bottom"/>
    </xf>
    <xf numFmtId="49" fontId="7" fillId="5" borderId="10" applyNumberFormat="1" applyFont="1" applyFill="1" applyBorder="1" applyAlignment="1" applyProtection="0">
      <alignment vertical="bottom" wrapText="1"/>
    </xf>
    <xf numFmtId="0" fontId="7" fillId="5" borderId="10" applyNumberFormat="0" applyFont="1" applyFill="1" applyBorder="1" applyAlignment="1" applyProtection="0">
      <alignment vertical="bottom" wrapText="1"/>
    </xf>
    <xf numFmtId="49" fontId="6" fillId="4" borderId="12" applyNumberFormat="1" applyFont="1" applyFill="1" applyBorder="1" applyAlignment="1" applyProtection="0">
      <alignment vertical="bottom"/>
    </xf>
    <xf numFmtId="0" fontId="7" fillId="4" borderId="10" applyNumberFormat="0" applyFont="1" applyFill="1" applyBorder="1" applyAlignment="1" applyProtection="0">
      <alignment vertical="bottom"/>
    </xf>
    <xf numFmtId="49" fontId="6" fillId="4" borderId="10" applyNumberFormat="1" applyFont="1" applyFill="1" applyBorder="1" applyAlignment="1" applyProtection="0">
      <alignment vertical="bottom"/>
    </xf>
    <xf numFmtId="0" fontId="0" applyNumberFormat="1" applyFont="1" applyFill="0" applyBorder="0" applyAlignment="1" applyProtection="0">
      <alignment vertical="bottom"/>
    </xf>
    <xf numFmtId="0" fontId="7" fillId="5" borderId="17" applyNumberFormat="0" applyFont="1" applyFill="1" applyBorder="1" applyAlignment="1" applyProtection="0">
      <alignment vertical="bottom"/>
    </xf>
    <xf numFmtId="49" fontId="7" fillId="5" borderId="18" applyNumberFormat="1" applyFont="1" applyFill="1" applyBorder="1" applyAlignment="1" applyProtection="0">
      <alignment horizontal="center" vertical="bottom" wrapText="1"/>
    </xf>
    <xf numFmtId="0" fontId="7" fillId="5" borderId="18" applyNumberFormat="0" applyFont="1" applyFill="1" applyBorder="1" applyAlignment="1" applyProtection="0">
      <alignment vertical="bottom"/>
    </xf>
    <xf numFmtId="0" fontId="7" fillId="5" borderId="19" applyNumberFormat="0" applyFont="1" applyFill="1" applyBorder="1" applyAlignment="1" applyProtection="0">
      <alignment vertical="bottom"/>
    </xf>
    <xf numFmtId="49" fontId="7" fillId="8" borderId="18" applyNumberFormat="1" applyFont="1" applyFill="1" applyBorder="1" applyAlignment="1" applyProtection="0">
      <alignment horizontal="center" vertical="bottom" wrapText="1"/>
    </xf>
    <xf numFmtId="0" fontId="7" fillId="5" borderId="20" applyNumberFormat="0" applyFont="1" applyFill="1" applyBorder="1" applyAlignment="1" applyProtection="0">
      <alignment vertical="bottom"/>
    </xf>
    <xf numFmtId="49" fontId="7" fillId="9" borderId="11" applyNumberFormat="1" applyFont="1" applyFill="1" applyBorder="1" applyAlignment="1" applyProtection="0">
      <alignment horizontal="center" vertical="bottom" wrapText="1"/>
    </xf>
    <xf numFmtId="49" fontId="7" fillId="10" borderId="21" applyNumberFormat="1" applyFont="1" applyFill="1" applyBorder="1" applyAlignment="1" applyProtection="0">
      <alignment horizontal="center" vertical="bottom" wrapText="1"/>
    </xf>
    <xf numFmtId="49" fontId="7" fillId="11" borderId="18" applyNumberFormat="1" applyFont="1" applyFill="1" applyBorder="1" applyAlignment="1" applyProtection="0">
      <alignment horizontal="center" vertical="bottom" wrapText="1"/>
    </xf>
    <xf numFmtId="0" fontId="7" fillId="5" borderId="19" applyNumberFormat="0" applyFont="1" applyFill="1" applyBorder="1" applyAlignment="1" applyProtection="0">
      <alignment vertical="bottom" wrapText="1"/>
    </xf>
    <xf numFmtId="0" fontId="7" fillId="12" borderId="18" applyNumberFormat="0" applyFont="1" applyFill="1" applyBorder="1" applyAlignment="1" applyProtection="0">
      <alignment vertical="bottom"/>
    </xf>
    <xf numFmtId="0" fontId="7" fillId="13" borderId="18" applyNumberFormat="0" applyFont="1" applyFill="1" applyBorder="1" applyAlignment="1" applyProtection="0">
      <alignment vertical="bottom"/>
    </xf>
    <xf numFmtId="0" fontId="7" fillId="14" borderId="18" applyNumberFormat="0" applyFont="1" applyFill="1" applyBorder="1" applyAlignment="1" applyProtection="0">
      <alignment vertical="bottom"/>
    </xf>
    <xf numFmtId="0" fontId="7" borderId="22" applyNumberFormat="0" applyFont="1" applyFill="0" applyBorder="1" applyAlignment="1" applyProtection="0">
      <alignment vertical="bottom" wrapText="1"/>
    </xf>
    <xf numFmtId="49" fontId="7" fillId="8" borderId="18" applyNumberFormat="1" applyFont="1" applyFill="1" applyBorder="1" applyAlignment="1" applyProtection="0">
      <alignment vertical="bottom" wrapText="1"/>
    </xf>
    <xf numFmtId="49" fontId="7" fillId="9" borderId="23" applyNumberFormat="1" applyFont="1" applyFill="1" applyBorder="1" applyAlignment="1" applyProtection="0">
      <alignment horizontal="center" vertical="bottom" wrapText="1"/>
    </xf>
    <xf numFmtId="0" fontId="7" fillId="5" borderId="23" applyNumberFormat="0" applyFont="1" applyFill="1" applyBorder="1" applyAlignment="1" applyProtection="0">
      <alignment vertical="bottom"/>
    </xf>
    <xf numFmtId="49" fontId="7" fillId="10" borderId="18" applyNumberFormat="1" applyFont="1" applyFill="1" applyBorder="1" applyAlignment="1" applyProtection="0">
      <alignment vertical="bottom" wrapText="1"/>
    </xf>
    <xf numFmtId="49" fontId="7" fillId="11" borderId="18" applyNumberFormat="1" applyFont="1" applyFill="1" applyBorder="1" applyAlignment="1" applyProtection="0">
      <alignment vertical="bottom" wrapText="1"/>
    </xf>
    <xf numFmtId="49" fontId="7" fillId="12" borderId="18" applyNumberFormat="1" applyFont="1" applyFill="1" applyBorder="1" applyAlignment="1" applyProtection="0">
      <alignment horizontal="center" vertical="bottom" wrapText="1"/>
    </xf>
    <xf numFmtId="49" fontId="7" fillId="13" borderId="18" applyNumberFormat="1" applyFont="1" applyFill="1" applyBorder="1" applyAlignment="1" applyProtection="0">
      <alignment horizontal="center" vertical="bottom" wrapText="1"/>
    </xf>
    <xf numFmtId="49" fontId="7" fillId="14" borderId="18" applyNumberFormat="1" applyFont="1" applyFill="1" applyBorder="1" applyAlignment="1" applyProtection="0">
      <alignment horizontal="center" vertical="bottom" wrapText="1"/>
    </xf>
    <xf numFmtId="49" fontId="7" borderId="22" applyNumberFormat="1" applyFont="1" applyFill="0" applyBorder="1" applyAlignment="1" applyProtection="0">
      <alignment horizontal="center" vertical="bottom" wrapText="1"/>
    </xf>
    <xf numFmtId="0" fontId="7" fillId="5" borderId="18" applyNumberFormat="0" applyFont="1" applyFill="1" applyBorder="1" applyAlignment="1" applyProtection="0">
      <alignment horizontal="center" vertical="bottom" wrapText="1"/>
    </xf>
    <xf numFmtId="49" fontId="7" fillId="9" borderId="18" applyNumberFormat="1" applyFont="1" applyFill="1" applyBorder="1" applyAlignment="1" applyProtection="0">
      <alignment vertical="bottom" wrapText="1"/>
    </xf>
    <xf numFmtId="0" fontId="7" fillId="10" borderId="18" applyNumberFormat="0" applyFont="1" applyFill="1" applyBorder="1" applyAlignment="1" applyProtection="0">
      <alignment vertical="bottom" wrapText="1"/>
    </xf>
    <xf numFmtId="0" fontId="7" fillId="11" borderId="18" applyNumberFormat="0" applyFont="1" applyFill="1" applyBorder="1" applyAlignment="1" applyProtection="0">
      <alignment vertical="bottom" wrapText="1"/>
    </xf>
    <xf numFmtId="0" fontId="7" fillId="12" borderId="18" applyNumberFormat="0" applyFont="1" applyFill="1" applyBorder="1" applyAlignment="1" applyProtection="0">
      <alignment horizontal="center" vertical="bottom" wrapText="1"/>
    </xf>
    <xf numFmtId="0" fontId="7" fillId="13" borderId="18" applyNumberFormat="0" applyFont="1" applyFill="1" applyBorder="1" applyAlignment="1" applyProtection="0">
      <alignment horizontal="center" vertical="bottom" wrapText="1"/>
    </xf>
    <xf numFmtId="0" fontId="7" fillId="14" borderId="18" applyNumberFormat="0" applyFont="1" applyFill="1" applyBorder="1" applyAlignment="1" applyProtection="0">
      <alignment horizontal="center" vertical="bottom" wrapText="1"/>
    </xf>
    <xf numFmtId="0" fontId="7" borderId="22" applyNumberFormat="0" applyFont="1" applyFill="0" applyBorder="1" applyAlignment="1" applyProtection="0">
      <alignment horizontal="center" vertical="bottom" wrapText="1"/>
    </xf>
    <xf numFmtId="0" fontId="7" fillId="5" borderId="18" applyNumberFormat="1" applyFont="1" applyFill="1" applyBorder="1" applyAlignment="1" applyProtection="0">
      <alignment vertical="bottom"/>
    </xf>
    <xf numFmtId="0" fontId="7" fillId="8" borderId="18" applyNumberFormat="1" applyFont="1" applyFill="1" applyBorder="1" applyAlignment="1" applyProtection="0">
      <alignment vertical="bottom"/>
    </xf>
    <xf numFmtId="0" fontId="7" fillId="9" borderId="18" applyNumberFormat="1" applyFont="1" applyFill="1" applyBorder="1" applyAlignment="1" applyProtection="0">
      <alignment vertical="bottom"/>
    </xf>
    <xf numFmtId="0" fontId="10" fillId="10" borderId="18" applyNumberFormat="1" applyFont="1" applyFill="1" applyBorder="1" applyAlignment="1" applyProtection="0">
      <alignment vertical="bottom"/>
    </xf>
    <xf numFmtId="0" fontId="7" fillId="10" borderId="18" applyNumberFormat="1" applyFont="1" applyFill="1" applyBorder="1" applyAlignment="1" applyProtection="0">
      <alignment vertical="bottom"/>
    </xf>
    <xf numFmtId="0" fontId="7" fillId="11" borderId="18" applyNumberFormat="1" applyFont="1" applyFill="1" applyBorder="1" applyAlignment="1" applyProtection="0">
      <alignment vertical="bottom"/>
    </xf>
    <xf numFmtId="0" fontId="7" fillId="12" borderId="18" applyNumberFormat="1" applyFont="1" applyFill="1" applyBorder="1" applyAlignment="1" applyProtection="0">
      <alignment vertical="bottom"/>
    </xf>
    <xf numFmtId="0" fontId="7" fillId="13" borderId="18" applyNumberFormat="1" applyFont="1" applyFill="1" applyBorder="1" applyAlignment="1" applyProtection="0">
      <alignment vertical="bottom"/>
    </xf>
    <xf numFmtId="0" fontId="7" fillId="14" borderId="18" applyNumberFormat="1" applyFont="1" applyFill="1" applyBorder="1" applyAlignment="1" applyProtection="0">
      <alignment vertical="bottom"/>
    </xf>
    <xf numFmtId="0" fontId="7" fillId="5" borderId="24" applyNumberFormat="0" applyFont="1" applyFill="1" applyBorder="1" applyAlignment="1" applyProtection="0">
      <alignment vertical="bottom"/>
    </xf>
    <xf numFmtId="0" fontId="7" fillId="5" borderId="24" applyNumberFormat="1" applyFont="1" applyFill="1" applyBorder="1" applyAlignment="1" applyProtection="0">
      <alignment vertical="bottom"/>
    </xf>
    <xf numFmtId="49" fontId="7" fillId="5" borderId="24" applyNumberFormat="1" applyFont="1" applyFill="1" applyBorder="1" applyAlignment="1" applyProtection="0">
      <alignment vertical="bottom"/>
    </xf>
    <xf numFmtId="0" fontId="7" fillId="5" borderId="25" applyNumberFormat="0" applyFont="1" applyFill="1" applyBorder="1" applyAlignment="1" applyProtection="0">
      <alignment vertical="bottom"/>
    </xf>
    <xf numFmtId="0" fontId="7" fillId="5" borderId="26" applyNumberFormat="1" applyFont="1" applyFill="1" applyBorder="1" applyAlignment="1" applyProtection="0">
      <alignment vertical="bottom"/>
    </xf>
    <xf numFmtId="0" fontId="7" borderId="27" applyNumberFormat="0" applyFont="1" applyFill="0" applyBorder="1" applyAlignment="1" applyProtection="0">
      <alignment vertical="bottom" wrapText="1"/>
    </xf>
    <xf numFmtId="0" fontId="0" borderId="28" applyNumberFormat="0" applyFont="1" applyFill="0" applyBorder="1" applyAlignment="1" applyProtection="0">
      <alignment vertical="bottom"/>
    </xf>
    <xf numFmtId="0" fontId="0" fillId="12" borderId="18" applyNumberFormat="1" applyFont="1" applyFill="1" applyBorder="1" applyAlignment="1" applyProtection="0">
      <alignment vertical="bottom"/>
    </xf>
    <xf numFmtId="0" fontId="0" borderId="29" applyNumberFormat="1" applyFont="1" applyFill="0" applyBorder="1" applyAlignment="1" applyProtection="0">
      <alignment vertical="bottom"/>
    </xf>
    <xf numFmtId="0" fontId="0" fillId="14" borderId="18" applyNumberFormat="1" applyFont="1" applyFill="1" applyBorder="1" applyAlignment="1" applyProtection="0">
      <alignment vertical="bottom"/>
    </xf>
    <xf numFmtId="0" fontId="0" borderId="30" applyNumberFormat="0" applyFont="1" applyFill="0" applyBorder="1" applyAlignment="1" applyProtection="0">
      <alignment vertical="bottom" wrapText="1"/>
    </xf>
    <xf numFmtId="0" fontId="0" borderId="17" applyNumberFormat="0" applyFont="1" applyFill="0" applyBorder="1" applyAlignment="1" applyProtection="0">
      <alignment vertical="bottom"/>
    </xf>
    <xf numFmtId="0" fontId="0" fillId="12" borderId="31" applyNumberFormat="1" applyFont="1" applyFill="1" applyBorder="1" applyAlignment="1" applyProtection="0">
      <alignment vertical="bottom"/>
    </xf>
    <xf numFmtId="0" fontId="0" borderId="32" applyNumberFormat="1" applyFont="1" applyFill="0" applyBorder="1" applyAlignment="1" applyProtection="0">
      <alignment vertical="bottom"/>
    </xf>
    <xf numFmtId="0" fontId="0" fillId="14" borderId="33" applyNumberFormat="1" applyFont="1" applyFill="1" applyBorder="1" applyAlignment="1" applyProtection="0">
      <alignment vertical="bottom"/>
    </xf>
    <xf numFmtId="49" fontId="0" borderId="22" applyNumberFormat="1" applyFont="1" applyFill="0" applyBorder="1" applyAlignment="1" applyProtection="0">
      <alignment vertical="bottom" wrapText="1"/>
    </xf>
    <xf numFmtId="0" fontId="0" borderId="34" applyNumberFormat="1" applyFont="1" applyFill="0" applyBorder="1" applyAlignment="1" applyProtection="0">
      <alignment vertical="bottom"/>
    </xf>
    <xf numFmtId="0" fontId="0" borderId="22" applyNumberFormat="0" applyFont="1" applyFill="0" applyBorder="1" applyAlignment="1" applyProtection="0">
      <alignment vertical="bottom" wrapText="1"/>
    </xf>
    <xf numFmtId="0" fontId="0" fillId="6" borderId="34" applyNumberFormat="1" applyFont="1" applyFill="1" applyBorder="1" applyAlignment="1" applyProtection="0">
      <alignment vertical="bottom"/>
    </xf>
    <xf numFmtId="0" fontId="0" fillId="6" borderId="35" applyNumberFormat="1" applyFont="1" applyFill="1" applyBorder="1" applyAlignment="1" applyProtection="0">
      <alignment vertical="bottom"/>
    </xf>
    <xf numFmtId="0" fontId="0" fillId="6" borderId="36" applyNumberFormat="1" applyFont="1" applyFill="1" applyBorder="1" applyAlignment="1" applyProtection="0">
      <alignment vertical="bottom"/>
    </xf>
    <xf numFmtId="0" fontId="0" fillId="6" borderId="37" applyNumberFormat="1" applyFont="1" applyFill="1" applyBorder="1" applyAlignment="1" applyProtection="0">
      <alignment vertical="bottom"/>
    </xf>
    <xf numFmtId="0" fontId="0" borderId="37" applyNumberFormat="1" applyFont="1" applyFill="0" applyBorder="1" applyAlignment="1" applyProtection="0">
      <alignment vertical="bottom"/>
    </xf>
    <xf numFmtId="49" fontId="11" borderId="16" applyNumberFormat="1" applyFont="1" applyFill="0" applyBorder="1" applyAlignment="1" applyProtection="0">
      <alignment vertical="bottom"/>
    </xf>
    <xf numFmtId="49" fontId="11" borderId="10" applyNumberFormat="1" applyFont="1" applyFill="0" applyBorder="1" applyAlignment="1" applyProtection="0">
      <alignment vertical="bottom"/>
    </xf>
    <xf numFmtId="49" fontId="11" borderId="17" applyNumberFormat="1" applyFont="1" applyFill="0" applyBorder="1" applyAlignment="1" applyProtection="0">
      <alignment vertical="bottom"/>
    </xf>
    <xf numFmtId="49" fontId="11" borderId="22" applyNumberFormat="1" applyFont="1" applyFill="0" applyBorder="1" applyAlignment="1" applyProtection="0">
      <alignment vertical="bottom" wrapText="1"/>
    </xf>
    <xf numFmtId="0" fontId="11" borderId="16" applyNumberFormat="0" applyFont="1" applyFill="0" applyBorder="1" applyAlignment="1" applyProtection="0">
      <alignment vertical="bottom"/>
    </xf>
    <xf numFmtId="0" fontId="11" borderId="10" applyNumberFormat="0" applyFont="1" applyFill="0" applyBorder="1" applyAlignment="1" applyProtection="0">
      <alignment vertical="bottom"/>
    </xf>
    <xf numFmtId="0" fontId="11" borderId="17" applyNumberFormat="0" applyFont="1" applyFill="0" applyBorder="1" applyAlignment="1" applyProtection="0">
      <alignment vertical="bottom"/>
    </xf>
    <xf numFmtId="1" fontId="11" borderId="37" applyNumberFormat="1" applyFont="1" applyFill="0" applyBorder="1" applyAlignment="1" applyProtection="0">
      <alignment vertical="bottom"/>
    </xf>
    <xf numFmtId="0" fontId="11" borderId="37" applyNumberFormat="1" applyFont="1" applyFill="0" applyBorder="1" applyAlignment="1" applyProtection="0">
      <alignment vertical="bottom"/>
    </xf>
    <xf numFmtId="0" fontId="8" borderId="16" applyNumberFormat="0" applyFont="1" applyFill="0" applyBorder="1" applyAlignment="1" applyProtection="0">
      <alignment horizontal="right" vertical="bottom" readingOrder="1"/>
    </xf>
    <xf numFmtId="0" fontId="8" borderId="10" applyNumberFormat="0" applyFont="1" applyFill="0" applyBorder="1" applyAlignment="1" applyProtection="0">
      <alignment horizontal="right" vertical="bottom" readingOrder="1"/>
    </xf>
    <xf numFmtId="0" fontId="8" borderId="17" applyNumberFormat="0" applyFont="1" applyFill="0" applyBorder="1" applyAlignment="1" applyProtection="0">
      <alignment horizontal="right" vertical="bottom" readingOrder="1"/>
    </xf>
    <xf numFmtId="0" fontId="8" borderId="37" applyNumberFormat="1" applyFont="1" applyFill="0" applyBorder="1" applyAlignment="1" applyProtection="0">
      <alignment horizontal="right" vertical="bottom" readingOrder="1"/>
    </xf>
    <xf numFmtId="0" fontId="1" borderId="22" applyNumberFormat="0" applyFont="1" applyFill="0" applyBorder="1" applyAlignment="1" applyProtection="0">
      <alignment horizontal="left" vertical="bottom" wrapText="1" readingOrder="1"/>
    </xf>
    <xf numFmtId="0" fontId="8" borderId="22" applyNumberFormat="0" applyFont="1" applyFill="0" applyBorder="1" applyAlignment="1" applyProtection="0">
      <alignment horizontal="right" vertical="bottom" wrapText="1" readingOrder="1"/>
    </xf>
    <xf numFmtId="0" fontId="1" borderId="10" applyNumberFormat="0" applyFont="1" applyFill="0" applyBorder="1" applyAlignment="1" applyProtection="0">
      <alignment horizontal="left" vertical="center"/>
    </xf>
    <xf numFmtId="0" fontId="1" borderId="15" applyNumberFormat="0" applyFont="1" applyFill="0" applyBorder="1" applyAlignment="1" applyProtection="0">
      <alignment horizontal="left" vertical="center"/>
    </xf>
    <xf numFmtId="49" fontId="11" borderId="38" applyNumberFormat="1" applyFont="1" applyFill="0" applyBorder="1" applyAlignment="1" applyProtection="0">
      <alignment vertical="bottom"/>
    </xf>
    <xf numFmtId="0" fontId="11" borderId="10" applyNumberFormat="1" applyFont="1" applyFill="0" applyBorder="1" applyAlignment="1" applyProtection="0">
      <alignment vertical="bottom"/>
    </xf>
    <xf numFmtId="49" fontId="11" borderId="10" applyNumberFormat="1" applyFont="1" applyFill="0"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dbdbdb"/>
      <rgbColor rgb="fffcfcfc"/>
      <rgbColor rgb="ffaaaaaa"/>
      <rgbColor rgb="ffbdc0bf"/>
      <rgbColor rgb="ffa5a5a5"/>
      <rgbColor rgb="ffffffff"/>
      <rgbColor rgb="ff3f3f3f"/>
      <rgbColor rgb="ff7c9547"/>
      <rgbColor rgb="ff97c0a8"/>
      <rgbColor rgb="ffc0a327"/>
      <rgbColor rgb="ffc08f53"/>
      <rgbColor rgb="ff949dc0"/>
      <rgbColor rgb="ffc0969b"/>
      <rgbColor rgb="ff88c072"/>
      <rgbColor rgb="ff94c0b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mailto:20098868@mail.wit.ie" TargetMode="External"/><Relationship Id="rId2" Type="http://schemas.openxmlformats.org/officeDocument/2006/relationships/hyperlink" Target="mailto:20098580@mail.wit.ie" TargetMode="External"/><Relationship Id="rId3" Type="http://schemas.openxmlformats.org/officeDocument/2006/relationships/hyperlink" Target="mailto:20097938@mail.wit.ie" TargetMode="External"/><Relationship Id="rId4" Type="http://schemas.openxmlformats.org/officeDocument/2006/relationships/hyperlink" Target="mailto:20097733@mail.wit.ie" TargetMode="External"/><Relationship Id="rId5" Type="http://schemas.openxmlformats.org/officeDocument/2006/relationships/hyperlink" Target="mailto:20099297@mail.wit.ie" TargetMode="External"/><Relationship Id="rId6" Type="http://schemas.openxmlformats.org/officeDocument/2006/relationships/hyperlink" Target="mailto:20098325@mail.wit.ie" TargetMode="External"/><Relationship Id="rId7" Type="http://schemas.openxmlformats.org/officeDocument/2006/relationships/hyperlink" Target="mailto:20094146@mail.wit.ie" TargetMode="External"/><Relationship Id="rId8" Type="http://schemas.openxmlformats.org/officeDocument/2006/relationships/hyperlink" Target="mailto:20096595@mail.wit.ie" TargetMode="External"/><Relationship Id="rId9" Type="http://schemas.openxmlformats.org/officeDocument/2006/relationships/hyperlink" Target="mailto:20077347@mail.wit.ie" TargetMode="External"/><Relationship Id="rId10" Type="http://schemas.openxmlformats.org/officeDocument/2006/relationships/hyperlink" Target="mailto:20083540@mail.wit.ie" TargetMode="External"/><Relationship Id="rId11" Type="http://schemas.openxmlformats.org/officeDocument/2006/relationships/hyperlink" Target="mailto:20096714@mail.wit.ie" TargetMode="External"/><Relationship Id="rId12" Type="http://schemas.openxmlformats.org/officeDocument/2006/relationships/hyperlink" Target="mailto:20098690@mail.wit.ie" TargetMode="External"/><Relationship Id="rId13" Type="http://schemas.openxmlformats.org/officeDocument/2006/relationships/hyperlink" Target="mailto:20098155@mail.wit.ie" TargetMode="External"/><Relationship Id="rId14" Type="http://schemas.openxmlformats.org/officeDocument/2006/relationships/hyperlink" Target="mailto:20098721@mail.wit.ie" TargetMode="External"/><Relationship Id="rId15" Type="http://schemas.openxmlformats.org/officeDocument/2006/relationships/hyperlink" Target="mailto:20070585@mail.wit.ie" TargetMode="External"/><Relationship Id="rId16" Type="http://schemas.openxmlformats.org/officeDocument/2006/relationships/hyperlink" Target="mailto:20097562@mail.wit.ie" TargetMode="External"/><Relationship Id="rId17" Type="http://schemas.openxmlformats.org/officeDocument/2006/relationships/hyperlink" Target="mailto:20088959@mail.wit.ie" TargetMode="External"/><Relationship Id="rId18" Type="http://schemas.openxmlformats.org/officeDocument/2006/relationships/hyperlink" Target="mailto:20098168@mail.wit.ie" TargetMode="External"/><Relationship Id="rId19" Type="http://schemas.openxmlformats.org/officeDocument/2006/relationships/hyperlink" Target="mailto:imbriani.paolo@hotmail.com" TargetMode="External"/><Relationship Id="rId20" Type="http://schemas.openxmlformats.org/officeDocument/2006/relationships/hyperlink" Target="mailto:20098745@mail.wit.ie" TargetMode="External"/><Relationship Id="rId21" Type="http://schemas.openxmlformats.org/officeDocument/2006/relationships/hyperlink" Target="mailto:20098730@mail.wit.ie" TargetMode="External"/><Relationship Id="rId22" Type="http://schemas.openxmlformats.org/officeDocument/2006/relationships/hyperlink" Target="mailto:20098918@mail.wit.ie" TargetMode="External"/><Relationship Id="rId23" Type="http://schemas.openxmlformats.org/officeDocument/2006/relationships/hyperlink" Target="mailto:20084608@mail.wit.ie" TargetMode="External"/><Relationship Id="rId24" Type="http://schemas.openxmlformats.org/officeDocument/2006/relationships/hyperlink" Target="mailto:20099160@mail.wit.ie" TargetMode="External"/><Relationship Id="rId25" Type="http://schemas.openxmlformats.org/officeDocument/2006/relationships/hyperlink" Target="mailto:20097866@mail.wit.ie" TargetMode="External"/><Relationship Id="rId26" Type="http://schemas.openxmlformats.org/officeDocument/2006/relationships/hyperlink" Target="mailto:20092433@mail.wit.ie" TargetMode="External"/><Relationship Id="rId27" Type="http://schemas.openxmlformats.org/officeDocument/2006/relationships/hyperlink" Target="mailto:20094677@mail.wit.ie" TargetMode="External"/><Relationship Id="rId28" Type="http://schemas.openxmlformats.org/officeDocument/2006/relationships/hyperlink" Target="mailto:20098078@mail.wit.ie" TargetMode="External"/><Relationship Id="rId29" Type="http://schemas.openxmlformats.org/officeDocument/2006/relationships/hyperlink" Target="mailto:20088394@mail.wit.ie" TargetMode="External"/><Relationship Id="rId30" Type="http://schemas.openxmlformats.org/officeDocument/2006/relationships/hyperlink" Target="mailto:20098637@mail.wit.ie" TargetMode="External"/><Relationship Id="rId31" Type="http://schemas.openxmlformats.org/officeDocument/2006/relationships/hyperlink" Target="mailto:20098583@mail.wit.ie" TargetMode="External"/><Relationship Id="rId32" Type="http://schemas.openxmlformats.org/officeDocument/2006/relationships/hyperlink" Target="mailto:20098384@mail.wit.ie" TargetMode="External"/><Relationship Id="rId33" Type="http://schemas.openxmlformats.org/officeDocument/2006/relationships/hyperlink" Target="mailto:20098241@mail.wit.ie" TargetMode="External"/><Relationship Id="rId34" Type="http://schemas.openxmlformats.org/officeDocument/2006/relationships/hyperlink" Target="mailto:20067691@mail.wit.ie" TargetMode="External"/><Relationship Id="rId35" Type="http://schemas.openxmlformats.org/officeDocument/2006/relationships/hyperlink" Target="mailto:20097873@mail.wit.ie"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6</v>
      </c>
    </row>
    <row r="11">
      <c r="B11" t="s" s="3">
        <v>129</v>
      </c>
      <c r="C11" s="3"/>
      <c r="D11" s="3"/>
    </row>
    <row r="12">
      <c r="B12" s="4"/>
      <c r="C12" t="s" s="4">
        <v>130</v>
      </c>
      <c r="D12" t="s" s="5">
        <v>131</v>
      </c>
    </row>
    <row r="13">
      <c r="B13" t="s" s="3">
        <v>144</v>
      </c>
      <c r="C13" s="3"/>
      <c r="D13" s="3"/>
    </row>
    <row r="14">
      <c r="B14" s="4"/>
      <c r="C14" t="s" s="4">
        <v>145</v>
      </c>
      <c r="D14" t="s" s="5">
        <v>146</v>
      </c>
    </row>
    <row r="15">
      <c r="B15" t="s" s="3">
        <v>154</v>
      </c>
      <c r="C15" s="3"/>
      <c r="D15" s="3"/>
    </row>
    <row r="16">
      <c r="B16" s="4"/>
      <c r="C16" t="s" s="4">
        <v>155</v>
      </c>
      <c r="D16" t="s" s="5">
        <v>156</v>
      </c>
    </row>
    <row r="17">
      <c r="B17" t="s" s="3">
        <v>159</v>
      </c>
      <c r="C17" s="3"/>
      <c r="D17" s="3"/>
    </row>
    <row r="18">
      <c r="B18" s="4"/>
      <c r="C18" t="s" s="4">
        <v>159</v>
      </c>
      <c r="D18" t="s" s="5">
        <v>160</v>
      </c>
    </row>
  </sheetData>
  <mergeCells count="1">
    <mergeCell ref="B3:D3"/>
  </mergeCells>
  <hyperlinks>
    <hyperlink ref="D10" location="'master - Master marks'!R2C1" tooltip="" display="master - Master marks"/>
    <hyperlink ref="D12" location="'lab test 1 - lab test 1 (5%)'!R2C1" tooltip="" display="lab test 1 - lab test 1 (5%)"/>
    <hyperlink ref="D14" location="'lab test 2 - lab test 2 (5 %)'!R2C1" tooltip="" display="lab test 2 - lab test 2 (5 %)"/>
    <hyperlink ref="D16" location="'Phase 1 - Programming Assignmen'!R2C1" tooltip="" display="Phase 1 - Programming Assignmen"/>
    <hyperlink ref="D18" location="'Programming Assignment 40% - Pr'!R2C1" tooltip="" display="Programming Assignment 40% - Pr"/>
  </hyperlinks>
</worksheet>
</file>

<file path=xl/worksheets/sheet2.xml><?xml version="1.0" encoding="utf-8"?>
<worksheet xmlns:r="http://schemas.openxmlformats.org/officeDocument/2006/relationships" xmlns="http://schemas.openxmlformats.org/spreadsheetml/2006/main">
  <dimension ref="A2:N47"/>
  <sheetViews>
    <sheetView workbookViewId="0" showGridLines="0" defaultGridColor="1">
      <pane topLeftCell="C1" xSplit="2" ySplit="0" activePane="topRight" state="frozen"/>
    </sheetView>
  </sheetViews>
  <sheetFormatPr defaultColWidth="8.83333" defaultRowHeight="15" customHeight="1" outlineLevelRow="0" outlineLevelCol="0"/>
  <cols>
    <col min="1" max="1" width="8.85156" style="6" customWidth="1"/>
    <col min="2" max="2" width="14.3516" style="6" customWidth="1"/>
    <col min="3" max="3" width="26" style="6" customWidth="1"/>
    <col min="4" max="8" width="8.85156" style="6" customWidth="1"/>
    <col min="9" max="9" width="7.42188" style="6" customWidth="1"/>
    <col min="10" max="10" width="8.85156" style="6" customWidth="1"/>
    <col min="11" max="11" width="6.65625" style="6" customWidth="1"/>
    <col min="12" max="12" width="7.72656" style="6" customWidth="1"/>
    <col min="13" max="13" width="7.10156" style="6" customWidth="1"/>
    <col min="14" max="14" width="35.9219" style="6" customWidth="1"/>
    <col min="15" max="16384" width="8.85156" style="6" customWidth="1"/>
  </cols>
  <sheetData>
    <row r="1" ht="15.55" customHeight="1">
      <c r="A1" t="s" s="7">
        <v>5</v>
      </c>
      <c r="B1" s="7"/>
      <c r="C1" s="7"/>
      <c r="D1" s="7"/>
      <c r="E1" s="7"/>
      <c r="F1" s="7"/>
      <c r="G1" s="7"/>
      <c r="H1" s="7"/>
      <c r="I1" s="7"/>
      <c r="J1" s="7"/>
      <c r="K1" s="7"/>
      <c r="L1" s="7"/>
      <c r="M1" s="7"/>
      <c r="N1" s="7"/>
    </row>
    <row r="2" ht="13.65" customHeight="1">
      <c r="A2" s="8"/>
      <c r="B2" s="9"/>
      <c r="C2" s="10"/>
      <c r="D2" s="10"/>
      <c r="E2" s="10"/>
      <c r="F2" s="10"/>
      <c r="G2" s="10"/>
      <c r="H2" s="10"/>
      <c r="I2" s="10"/>
      <c r="J2" s="10"/>
      <c r="K2" s="10"/>
      <c r="L2" s="10"/>
      <c r="M2" s="10"/>
      <c r="N2" s="11"/>
    </row>
    <row r="3" ht="13.65" customHeight="1">
      <c r="A3" s="12"/>
      <c r="B3" s="13"/>
      <c r="C3" s="14"/>
      <c r="D3" s="14"/>
      <c r="E3" s="14"/>
      <c r="F3" s="14"/>
      <c r="G3" s="14"/>
      <c r="H3" s="14"/>
      <c r="I3" s="14"/>
      <c r="J3" s="14"/>
      <c r="K3" s="14"/>
      <c r="L3" s="14"/>
      <c r="M3" s="14"/>
      <c r="N3" s="15"/>
    </row>
    <row r="4" ht="13.55" customHeight="1">
      <c r="A4" s="16"/>
      <c r="B4" s="13"/>
      <c r="C4" s="14"/>
      <c r="D4" s="14"/>
      <c r="E4" s="14"/>
      <c r="F4" s="14"/>
      <c r="G4" s="14"/>
      <c r="H4" s="14"/>
      <c r="I4" s="14"/>
      <c r="J4" s="14"/>
      <c r="K4" s="14"/>
      <c r="L4" s="14"/>
      <c r="M4" s="14"/>
      <c r="N4" s="15"/>
    </row>
    <row r="5" ht="13.55" customHeight="1">
      <c r="A5" s="16"/>
      <c r="B5" s="13"/>
      <c r="C5" s="14"/>
      <c r="D5" s="14"/>
      <c r="E5" s="14"/>
      <c r="F5" s="14"/>
      <c r="G5" s="14"/>
      <c r="H5" s="14"/>
      <c r="I5" s="14"/>
      <c r="J5" s="14"/>
      <c r="K5" s="14"/>
      <c r="L5" s="14"/>
      <c r="M5" s="14"/>
      <c r="N5" s="15"/>
    </row>
    <row r="6" ht="39.55" customHeight="1">
      <c r="A6" t="s" s="12">
        <v>7</v>
      </c>
      <c r="B6" t="s" s="17">
        <v>8</v>
      </c>
      <c r="C6" s="18"/>
      <c r="D6" s="18"/>
      <c r="E6" s="18"/>
      <c r="F6" t="s" s="19">
        <v>9</v>
      </c>
      <c r="G6" t="s" s="19">
        <v>10</v>
      </c>
      <c r="H6" t="s" s="19">
        <v>11</v>
      </c>
      <c r="I6" t="s" s="19">
        <v>12</v>
      </c>
      <c r="J6" t="s" s="19">
        <v>13</v>
      </c>
      <c r="K6" t="s" s="19">
        <v>14</v>
      </c>
      <c r="L6" t="s" s="19">
        <v>15</v>
      </c>
      <c r="M6" t="s" s="19">
        <v>16</v>
      </c>
      <c r="N6" t="s" s="20">
        <v>17</v>
      </c>
    </row>
    <row r="7" ht="15.9" customHeight="1">
      <c r="A7" s="16"/>
      <c r="B7" s="13"/>
      <c r="C7" s="14"/>
      <c r="D7" s="14"/>
      <c r="E7" s="18"/>
      <c r="F7" s="21">
        <v>100</v>
      </c>
      <c r="G7" s="21">
        <v>100</v>
      </c>
      <c r="H7" s="21">
        <v>100</v>
      </c>
      <c r="I7" s="22"/>
      <c r="J7" s="18"/>
      <c r="K7" s="18"/>
      <c r="L7" s="18"/>
      <c r="M7" s="18"/>
      <c r="N7" s="23"/>
    </row>
    <row r="8" ht="15.9" customHeight="1">
      <c r="A8" t="s" s="24">
        <v>18</v>
      </c>
      <c r="B8" t="s" s="25">
        <v>19</v>
      </c>
      <c r="C8" t="s" s="25">
        <v>20</v>
      </c>
      <c r="D8" s="14"/>
      <c r="E8" s="14"/>
      <c r="F8" s="26">
        <f>'lab test 1 - lab test 1 (5%)'!I7</f>
        <v>100</v>
      </c>
      <c r="G8" s="26">
        <f>'lab test 2 - lab test 2 (5 %)'!H6</f>
        <v>0</v>
      </c>
      <c r="H8" s="26">
        <f>'Programming Assignment 40% - Pr'!AH8</f>
        <v>0</v>
      </c>
      <c r="I8" s="27">
        <f>F8*0.1+G8*0.1+H8*0.8</f>
        <v>10</v>
      </c>
      <c r="J8" s="27">
        <f>I8/2</f>
        <v>5</v>
      </c>
      <c r="K8" s="14"/>
      <c r="L8" s="26">
        <f>K8/2</f>
        <v>0</v>
      </c>
      <c r="M8" s="27">
        <f>J8+L8</f>
        <v>5</v>
      </c>
      <c r="N8" t="s" s="28">
        <v>21</v>
      </c>
    </row>
    <row r="9" ht="15.9" customHeight="1">
      <c r="A9" t="s" s="24">
        <v>22</v>
      </c>
      <c r="B9" t="s" s="25">
        <v>23</v>
      </c>
      <c r="C9" t="s" s="25">
        <v>24</v>
      </c>
      <c r="D9" s="14"/>
      <c r="E9" s="14"/>
      <c r="F9" s="26">
        <f>'lab test 1 - lab test 1 (5%)'!I8</f>
        <v>100</v>
      </c>
      <c r="G9" s="26">
        <f>'lab test 2 - lab test 2 (5 %)'!H7</f>
        <v>2</v>
      </c>
      <c r="H9" s="26">
        <f>'Programming Assignment 40% - Pr'!AH9</f>
        <v>0</v>
      </c>
      <c r="I9" s="27">
        <f>F9*0.1+G9*0.1+H9*0.8</f>
        <v>10.2</v>
      </c>
      <c r="J9" s="27">
        <f>I9/2</f>
        <v>5.1</v>
      </c>
      <c r="K9" s="26">
        <v>41</v>
      </c>
      <c r="L9" s="26">
        <f>K9/2</f>
        <v>20.5</v>
      </c>
      <c r="M9" s="27">
        <f>J9+L9</f>
        <v>25.6</v>
      </c>
      <c r="N9" s="15"/>
    </row>
    <row r="10" ht="15.9" customHeight="1">
      <c r="A10" t="s" s="24">
        <v>25</v>
      </c>
      <c r="B10" t="s" s="25">
        <v>26</v>
      </c>
      <c r="C10" t="s" s="25">
        <v>27</v>
      </c>
      <c r="D10" s="14"/>
      <c r="E10" s="14"/>
      <c r="F10" s="26">
        <f>'lab test 1 - lab test 1 (5%)'!I9</f>
        <v>91</v>
      </c>
      <c r="G10" s="26">
        <f>'lab test 2 - lab test 2 (5 %)'!H8</f>
        <v>80</v>
      </c>
      <c r="H10" s="26">
        <f>'Programming Assignment 40% - Pr'!AH10</f>
        <v>0</v>
      </c>
      <c r="I10" s="27">
        <f>F10*0.1+G10*0.1+H10*0.8</f>
        <v>17.1</v>
      </c>
      <c r="J10" s="27">
        <f>I10/2</f>
        <v>8.550000000000001</v>
      </c>
      <c r="K10" s="26">
        <v>54</v>
      </c>
      <c r="L10" s="26">
        <f>K10/2</f>
        <v>27</v>
      </c>
      <c r="M10" s="27">
        <f>J10+L10</f>
        <v>35.55</v>
      </c>
      <c r="N10" s="15"/>
    </row>
    <row r="11" ht="22.3" customHeight="1">
      <c r="A11" t="s" s="24">
        <v>28</v>
      </c>
      <c r="B11" t="s" s="25">
        <v>29</v>
      </c>
      <c r="C11" t="s" s="25">
        <v>30</v>
      </c>
      <c r="D11" s="14"/>
      <c r="E11" s="14"/>
      <c r="F11" s="26">
        <f>'lab test 1 - lab test 1 (5%)'!I10</f>
        <v>92</v>
      </c>
      <c r="G11" s="26">
        <f>'lab test 2 - lab test 2 (5 %)'!H9</f>
        <v>0</v>
      </c>
      <c r="H11" s="26">
        <f>'Programming Assignment 40% - Pr'!AH11</f>
        <v>0</v>
      </c>
      <c r="I11" s="27">
        <f>F11*0.1+G11*0.1+H11*0.8</f>
        <v>9.199999999999999</v>
      </c>
      <c r="J11" s="27">
        <f>I11/2</f>
        <v>4.6</v>
      </c>
      <c r="K11" s="26">
        <v>38.5</v>
      </c>
      <c r="L11" s="26">
        <f>K11/2</f>
        <v>19.25</v>
      </c>
      <c r="M11" s="27">
        <f>J11+L11</f>
        <v>23.85</v>
      </c>
      <c r="N11" s="15"/>
    </row>
    <row r="12" ht="25" customHeight="1">
      <c r="A12" t="s" s="24">
        <v>31</v>
      </c>
      <c r="B12" t="s" s="25">
        <v>32</v>
      </c>
      <c r="C12" t="s" s="25">
        <v>33</v>
      </c>
      <c r="D12" s="14"/>
      <c r="E12" s="29"/>
      <c r="F12" s="26">
        <f>'lab test 1 - lab test 1 (5%)'!I11</f>
        <v>95.71428571428569</v>
      </c>
      <c r="G12" s="30">
        <f>'lab test 2 - lab test 2 (5 %)'!H10</f>
        <v>0</v>
      </c>
      <c r="H12" s="26">
        <f>'Programming Assignment 40% - Pr'!AH12</f>
        <v>0</v>
      </c>
      <c r="I12" s="27">
        <f>F12*0.1+G12*0.1+H12*0.8</f>
        <v>9.571428571428569</v>
      </c>
      <c r="J12" s="27">
        <f>I12/2</f>
        <v>4.78571428571429</v>
      </c>
      <c r="K12" s="30">
        <v>62</v>
      </c>
      <c r="L12" s="26">
        <f>K12/2</f>
        <v>31</v>
      </c>
      <c r="M12" s="27">
        <f>J12+L12</f>
        <v>35.7857142857143</v>
      </c>
      <c r="N12" s="31"/>
    </row>
    <row r="13" ht="38.85" customHeight="1">
      <c r="A13" t="s" s="24">
        <v>34</v>
      </c>
      <c r="B13" t="s" s="25">
        <v>35</v>
      </c>
      <c r="C13" t="s" s="25">
        <v>36</v>
      </c>
      <c r="D13" s="14"/>
      <c r="E13" s="14"/>
      <c r="F13" s="26">
        <f>'lab test 1 - lab test 1 (5%)'!I12</f>
        <v>100</v>
      </c>
      <c r="G13" s="30">
        <f>'lab test 2 - lab test 2 (5 %)'!H11</f>
        <v>0</v>
      </c>
      <c r="H13" s="26">
        <f>'Programming Assignment 40% - Pr'!AH13</f>
        <v>0</v>
      </c>
      <c r="I13" s="27">
        <f>F13*0.1+G13*0.1+H13*0.8</f>
        <v>10</v>
      </c>
      <c r="J13" s="27">
        <f>I13/2</f>
        <v>5</v>
      </c>
      <c r="K13" s="26">
        <v>45.5</v>
      </c>
      <c r="L13" s="26">
        <f>K13/2</f>
        <v>22.75</v>
      </c>
      <c r="M13" s="27">
        <f>J13+L13</f>
        <v>27.75</v>
      </c>
      <c r="N13" s="15"/>
    </row>
    <row r="14" ht="13.55" customHeight="1">
      <c r="A14" t="s" s="24">
        <v>37</v>
      </c>
      <c r="B14" t="s" s="25">
        <v>38</v>
      </c>
      <c r="C14" t="s" s="25">
        <v>39</v>
      </c>
      <c r="D14" s="14"/>
      <c r="E14" s="14"/>
      <c r="F14" s="26">
        <f>'lab test 1 - lab test 1 (5%)'!I13</f>
        <v>77.71428571428569</v>
      </c>
      <c r="G14" s="30">
        <f>'lab test 2 - lab test 2 (5 %)'!H12</f>
        <v>0</v>
      </c>
      <c r="H14" s="26">
        <f>'Programming Assignment 40% - Pr'!AH14</f>
        <v>0</v>
      </c>
      <c r="I14" s="27">
        <f>F14*0.1+G14*0.1+H14*0.8</f>
        <v>7.77142857142857</v>
      </c>
      <c r="J14" s="27">
        <f>I14/2</f>
        <v>3.88571428571429</v>
      </c>
      <c r="K14" s="26">
        <v>47</v>
      </c>
      <c r="L14" s="26">
        <f>K14/2</f>
        <v>23.5</v>
      </c>
      <c r="M14" s="27">
        <f>J14+L14</f>
        <v>27.3857142857143</v>
      </c>
      <c r="N14" s="15"/>
    </row>
    <row r="15" ht="13.55" customHeight="1">
      <c r="A15" t="s" s="24">
        <v>40</v>
      </c>
      <c r="B15" t="s" s="25">
        <v>41</v>
      </c>
      <c r="C15" t="s" s="25">
        <v>42</v>
      </c>
      <c r="D15" s="14"/>
      <c r="E15" s="14"/>
      <c r="F15" s="26">
        <f>'lab test 1 - lab test 1 (5%)'!I14</f>
        <v>0</v>
      </c>
      <c r="G15" s="30">
        <f>'lab test 2 - lab test 2 (5 %)'!H13</f>
        <v>0</v>
      </c>
      <c r="H15" s="26">
        <f>'Programming Assignment 40% - Pr'!AH15</f>
        <v>0</v>
      </c>
      <c r="I15" s="27">
        <f>F15*0.1+G15*0.1+H15*0.8</f>
        <v>0</v>
      </c>
      <c r="J15" s="27">
        <f>I15/2</f>
        <v>0</v>
      </c>
      <c r="K15" s="26">
        <v>38.5</v>
      </c>
      <c r="L15" s="26">
        <f>K15/2</f>
        <v>19.25</v>
      </c>
      <c r="M15" s="27">
        <f>J15+L15</f>
        <v>19.25</v>
      </c>
      <c r="N15" s="15"/>
    </row>
    <row r="16" ht="13.55" customHeight="1">
      <c r="A16" t="s" s="24">
        <v>43</v>
      </c>
      <c r="B16" t="s" s="25">
        <v>44</v>
      </c>
      <c r="C16" t="s" s="25">
        <v>45</v>
      </c>
      <c r="D16" s="14"/>
      <c r="E16" s="14"/>
      <c r="F16" s="26">
        <f>'lab test 1 - lab test 1 (5%)'!I15</f>
        <v>100</v>
      </c>
      <c r="G16" s="30">
        <f>'lab test 2 - lab test 2 (5 %)'!H14</f>
        <v>0</v>
      </c>
      <c r="H16" s="26">
        <f>'Programming Assignment 40% - Pr'!AH16</f>
        <v>0</v>
      </c>
      <c r="I16" s="27">
        <f>F16*0.1+G16*0.1+H16*0.8</f>
        <v>10</v>
      </c>
      <c r="J16" s="27">
        <f>I16/2</f>
        <v>5</v>
      </c>
      <c r="K16" s="14"/>
      <c r="L16" s="26">
        <f>K16/2</f>
        <v>0</v>
      </c>
      <c r="M16" s="27">
        <f>J16+L16</f>
        <v>5</v>
      </c>
      <c r="N16" t="s" s="28">
        <v>46</v>
      </c>
    </row>
    <row r="17" ht="13.55" customHeight="1">
      <c r="A17" t="s" s="24">
        <v>47</v>
      </c>
      <c r="B17" t="s" s="25">
        <v>48</v>
      </c>
      <c r="C17" t="s" s="25">
        <v>49</v>
      </c>
      <c r="D17" s="14"/>
      <c r="E17" s="14"/>
      <c r="F17" s="26">
        <f>'lab test 1 - lab test 1 (5%)'!I16</f>
        <v>68</v>
      </c>
      <c r="G17" s="30">
        <f>'lab test 2 - lab test 2 (5 %)'!H15</f>
        <v>80</v>
      </c>
      <c r="H17" s="26">
        <f>'Programming Assignment 40% - Pr'!AH17</f>
        <v>0</v>
      </c>
      <c r="I17" s="27">
        <f>F17*0.1+G17*0.1+H17*0.8</f>
        <v>14.8</v>
      </c>
      <c r="J17" s="27">
        <f>I17/2</f>
        <v>7.4</v>
      </c>
      <c r="K17" s="26">
        <v>47.5</v>
      </c>
      <c r="L17" s="26">
        <f>K17/2</f>
        <v>23.75</v>
      </c>
      <c r="M17" s="27">
        <f>J17+L17</f>
        <v>31.15</v>
      </c>
      <c r="N17" s="15"/>
    </row>
    <row r="18" ht="13.55" customHeight="1">
      <c r="A18" t="s" s="24">
        <v>50</v>
      </c>
      <c r="B18" t="s" s="25">
        <v>51</v>
      </c>
      <c r="C18" t="s" s="25">
        <v>52</v>
      </c>
      <c r="D18" s="14"/>
      <c r="E18" s="14"/>
      <c r="F18" s="26">
        <f>'lab test 1 - lab test 1 (5%)'!I17</f>
        <v>60</v>
      </c>
      <c r="G18" s="30">
        <f>'lab test 2 - lab test 2 (5 %)'!H16</f>
        <v>0</v>
      </c>
      <c r="H18" s="26">
        <f>'Programming Assignment 40% - Pr'!AH18</f>
        <v>0</v>
      </c>
      <c r="I18" s="27">
        <f>F18*0.1+G18*0.1+H18*0.8</f>
        <v>6</v>
      </c>
      <c r="J18" s="27">
        <f>I18/2</f>
        <v>3</v>
      </c>
      <c r="K18" s="26">
        <v>69</v>
      </c>
      <c r="L18" s="26">
        <f>K18/2</f>
        <v>34.5</v>
      </c>
      <c r="M18" s="27">
        <f>J18+L18</f>
        <v>37.5</v>
      </c>
      <c r="N18" s="15"/>
    </row>
    <row r="19" ht="13.55" customHeight="1">
      <c r="A19" t="s" s="24">
        <v>37</v>
      </c>
      <c r="B19" t="s" s="25">
        <v>51</v>
      </c>
      <c r="C19" t="s" s="25">
        <v>53</v>
      </c>
      <c r="D19" s="14"/>
      <c r="E19" s="14"/>
      <c r="F19" s="26">
        <f>'lab test 1 - lab test 1 (5%)'!I18</f>
        <v>100</v>
      </c>
      <c r="G19" s="30">
        <f>'lab test 2 - lab test 2 (5 %)'!H17</f>
        <v>0</v>
      </c>
      <c r="H19" s="26">
        <f>'Programming Assignment 40% - Pr'!AH19</f>
        <v>0</v>
      </c>
      <c r="I19" s="27">
        <f>F19*0.1+G19*0.1+H19*0.8</f>
        <v>10</v>
      </c>
      <c r="J19" s="27">
        <f>I19/2</f>
        <v>5</v>
      </c>
      <c r="K19" s="26">
        <v>72</v>
      </c>
      <c r="L19" s="26">
        <f>K19/2</f>
        <v>36</v>
      </c>
      <c r="M19" s="27">
        <f>J19+L19</f>
        <v>41</v>
      </c>
      <c r="N19" s="15"/>
    </row>
    <row r="20" ht="13.55" customHeight="1">
      <c r="A20" t="s" s="24">
        <v>54</v>
      </c>
      <c r="B20" t="s" s="25">
        <v>55</v>
      </c>
      <c r="C20" t="s" s="25">
        <v>56</v>
      </c>
      <c r="D20" s="14"/>
      <c r="E20" s="14"/>
      <c r="F20" s="26">
        <f>'lab test 1 - lab test 1 (5%)'!I19</f>
        <v>100</v>
      </c>
      <c r="G20" s="30">
        <f>'lab test 2 - lab test 2 (5 %)'!H18</f>
        <v>0</v>
      </c>
      <c r="H20" s="26">
        <f>'Programming Assignment 40% - Pr'!AH20</f>
        <v>0</v>
      </c>
      <c r="I20" s="27">
        <f>F20*0.1+G20*0.1+H20*0.8</f>
        <v>10</v>
      </c>
      <c r="J20" s="27">
        <f>I20/2</f>
        <v>5</v>
      </c>
      <c r="K20" s="26">
        <v>88</v>
      </c>
      <c r="L20" s="26">
        <f>K20/2</f>
        <v>44</v>
      </c>
      <c r="M20" s="27">
        <f>J20+L20</f>
        <v>49</v>
      </c>
      <c r="N20" s="15"/>
    </row>
    <row r="21" ht="13.55" customHeight="1">
      <c r="A21" t="s" s="24">
        <v>57</v>
      </c>
      <c r="B21" t="s" s="25">
        <v>58</v>
      </c>
      <c r="C21" t="s" s="25">
        <v>59</v>
      </c>
      <c r="D21" s="14"/>
      <c r="E21" s="14"/>
      <c r="F21" s="26">
        <f>'lab test 1 - lab test 1 (5%)'!I20</f>
        <v>95</v>
      </c>
      <c r="G21" s="30">
        <f>'lab test 2 - lab test 2 (5 %)'!H19</f>
        <v>0</v>
      </c>
      <c r="H21" s="26">
        <f>'Programming Assignment 40% - Pr'!AH21</f>
        <v>0</v>
      </c>
      <c r="I21" s="27">
        <f>F21*0.1+G21*0.1+H21*0.8</f>
        <v>9.5</v>
      </c>
      <c r="J21" s="27">
        <f>I21/2</f>
        <v>4.75</v>
      </c>
      <c r="K21" s="26">
        <v>38.5</v>
      </c>
      <c r="L21" s="26">
        <f>K21/2</f>
        <v>19.25</v>
      </c>
      <c r="M21" s="27">
        <f>J21+L21</f>
        <v>24</v>
      </c>
      <c r="N21" t="s" s="28">
        <v>60</v>
      </c>
    </row>
    <row r="22" ht="13.55" customHeight="1">
      <c r="A22" t="s" s="24">
        <v>61</v>
      </c>
      <c r="B22" t="s" s="25">
        <v>62</v>
      </c>
      <c r="C22" t="s" s="25">
        <v>63</v>
      </c>
      <c r="D22" s="14"/>
      <c r="E22" s="14"/>
      <c r="F22" s="26">
        <f>'lab test 1 - lab test 1 (5%)'!I21</f>
        <v>0</v>
      </c>
      <c r="G22" s="30">
        <f>'lab test 2 - lab test 2 (5 %)'!H20</f>
        <v>0</v>
      </c>
      <c r="H22" s="26">
        <f>'Programming Assignment 40% - Pr'!AH22</f>
        <v>0</v>
      </c>
      <c r="I22" s="27">
        <f>F22*0.1+G22*0.1+H22*0.8</f>
        <v>0</v>
      </c>
      <c r="J22" s="27">
        <f>I22/2</f>
        <v>0</v>
      </c>
      <c r="K22" s="26">
        <v>91.5</v>
      </c>
      <c r="L22" s="26">
        <f>K22/2</f>
        <v>45.75</v>
      </c>
      <c r="M22" s="27">
        <f>J22+L22</f>
        <v>45.75</v>
      </c>
      <c r="N22" s="15"/>
    </row>
    <row r="23" ht="13.55" customHeight="1">
      <c r="A23" t="s" s="24">
        <v>64</v>
      </c>
      <c r="B23" t="s" s="25">
        <v>65</v>
      </c>
      <c r="C23" t="s" s="25">
        <v>66</v>
      </c>
      <c r="D23" s="14"/>
      <c r="E23" s="14"/>
      <c r="F23" s="26">
        <f>'lab test 1 - lab test 1 (5%)'!I22</f>
        <v>96</v>
      </c>
      <c r="G23" s="30">
        <f>'lab test 2 - lab test 2 (5 %)'!H21</f>
        <v>0</v>
      </c>
      <c r="H23" s="26">
        <f>'Programming Assignment 40% - Pr'!AH23</f>
        <v>0</v>
      </c>
      <c r="I23" s="27">
        <f>F23*0.1+G23*0.1+H23*0.8</f>
        <v>9.6</v>
      </c>
      <c r="J23" s="27">
        <f>I23/2</f>
        <v>4.8</v>
      </c>
      <c r="K23" s="26">
        <v>66.5</v>
      </c>
      <c r="L23" s="26">
        <f>K23/2</f>
        <v>33.25</v>
      </c>
      <c r="M23" s="27">
        <f>J23+L23</f>
        <v>38.05</v>
      </c>
      <c r="N23" s="15"/>
    </row>
    <row r="24" ht="13.55" customHeight="1">
      <c r="A24" t="s" s="24">
        <v>67</v>
      </c>
      <c r="B24" t="s" s="25">
        <v>68</v>
      </c>
      <c r="C24" t="s" s="25">
        <v>69</v>
      </c>
      <c r="D24" s="14"/>
      <c r="E24" s="14"/>
      <c r="F24" s="26">
        <f>'lab test 1 - lab test 1 (5%)'!I23</f>
        <v>87.71428571428569</v>
      </c>
      <c r="G24" s="30">
        <f>'lab test 2 - lab test 2 (5 %)'!H22</f>
        <v>0</v>
      </c>
      <c r="H24" s="26">
        <f>'Programming Assignment 40% - Pr'!AH24</f>
        <v>0</v>
      </c>
      <c r="I24" s="27">
        <f>F24*0.1+G24*0.1+H24*0.8</f>
        <v>8.77142857142857</v>
      </c>
      <c r="J24" s="27">
        <f>I24/2</f>
        <v>4.38571428571429</v>
      </c>
      <c r="K24" s="26">
        <v>35.5</v>
      </c>
      <c r="L24" s="26">
        <f>K24/2</f>
        <v>17.75</v>
      </c>
      <c r="M24" s="27">
        <f>J24+L24</f>
        <v>22.1357142857143</v>
      </c>
      <c r="N24" s="15"/>
    </row>
    <row r="25" ht="13.55" customHeight="1">
      <c r="A25" t="s" s="24">
        <v>70</v>
      </c>
      <c r="B25" t="s" s="25">
        <v>71</v>
      </c>
      <c r="C25" t="s" s="25">
        <v>72</v>
      </c>
      <c r="D25" s="14"/>
      <c r="E25" s="14"/>
      <c r="F25" s="26">
        <f>'lab test 1 - lab test 1 (5%)'!I24</f>
        <v>100</v>
      </c>
      <c r="G25" s="30">
        <f>'lab test 2 - lab test 2 (5 %)'!H23</f>
        <v>0</v>
      </c>
      <c r="H25" s="26">
        <f>'Programming Assignment 40% - Pr'!AH25</f>
        <v>0</v>
      </c>
      <c r="I25" s="27">
        <f>F25*0.1+G25*0.1+H25*0.8</f>
        <v>10</v>
      </c>
      <c r="J25" s="27">
        <f>I25/2</f>
        <v>5</v>
      </c>
      <c r="K25" s="26">
        <v>61</v>
      </c>
      <c r="L25" s="26">
        <f>K25/2</f>
        <v>30.5</v>
      </c>
      <c r="M25" s="27">
        <f>J25+L25</f>
        <v>35.5</v>
      </c>
      <c r="N25" s="15"/>
    </row>
    <row r="26" ht="13.55" customHeight="1">
      <c r="A26" t="s" s="24">
        <v>73</v>
      </c>
      <c r="B26" t="s" s="25">
        <v>74</v>
      </c>
      <c r="C26" t="s" s="25">
        <v>75</v>
      </c>
      <c r="D26" s="14"/>
      <c r="E26" s="14"/>
      <c r="F26" s="26">
        <f>'lab test 1 - lab test 1 (5%)'!I25</f>
        <v>100</v>
      </c>
      <c r="G26" s="30">
        <f>'lab test 2 - lab test 2 (5 %)'!H24</f>
        <v>0</v>
      </c>
      <c r="H26" s="26">
        <f>'Programming Assignment 40% - Pr'!AH26</f>
        <v>0</v>
      </c>
      <c r="I26" s="27">
        <f>F26*0.1+G26*0.1+H26*0.8</f>
        <v>10</v>
      </c>
      <c r="J26" s="27">
        <f>I26/2</f>
        <v>5</v>
      </c>
      <c r="K26" s="26">
        <v>55</v>
      </c>
      <c r="L26" s="26">
        <f>K26/2</f>
        <v>27.5</v>
      </c>
      <c r="M26" s="27">
        <f>J26+L26</f>
        <v>32.5</v>
      </c>
      <c r="N26" s="15"/>
    </row>
    <row r="27" ht="13.55" customHeight="1">
      <c r="A27" t="s" s="24">
        <v>76</v>
      </c>
      <c r="B27" t="s" s="25">
        <v>77</v>
      </c>
      <c r="C27" t="s" s="25">
        <v>78</v>
      </c>
      <c r="D27" s="14"/>
      <c r="E27" s="14"/>
      <c r="F27" s="26">
        <f>'lab test 1 - lab test 1 (5%)'!I26</f>
        <v>53.4285714285714</v>
      </c>
      <c r="G27" s="30">
        <f>'lab test 2 - lab test 2 (5 %)'!H25</f>
        <v>0</v>
      </c>
      <c r="H27" s="26">
        <f>'Programming Assignment 40% - Pr'!AH27</f>
        <v>0</v>
      </c>
      <c r="I27" s="27">
        <f>F27*0.1+G27*0.1+H27*0.8+K32</f>
        <v>41.8428571428571</v>
      </c>
      <c r="J27" s="27">
        <f>I27/2</f>
        <v>20.9214285714286</v>
      </c>
      <c r="K27" s="26">
        <v>49</v>
      </c>
      <c r="L27" s="26">
        <f>K27/2</f>
        <v>24.5</v>
      </c>
      <c r="M27" s="27">
        <f>J27+L27</f>
        <v>45.4214285714286</v>
      </c>
      <c r="N27" s="15"/>
    </row>
    <row r="28" ht="13.55" customHeight="1">
      <c r="A28" t="s" s="24">
        <v>79</v>
      </c>
      <c r="B28" t="s" s="25">
        <v>80</v>
      </c>
      <c r="C28" t="s" s="25">
        <v>81</v>
      </c>
      <c r="D28" s="14"/>
      <c r="E28" s="14"/>
      <c r="F28" s="26">
        <f>'lab test 1 - lab test 1 (5%)'!I27</f>
        <v>75.71428571428569</v>
      </c>
      <c r="G28" s="30">
        <f>'lab test 2 - lab test 2 (5 %)'!H26</f>
        <v>0</v>
      </c>
      <c r="H28" s="26">
        <f>'Programming Assignment 40% - Pr'!AH28</f>
        <v>0</v>
      </c>
      <c r="I28" s="27">
        <f>F28*0.1+G28*0.1+H28*0.8</f>
        <v>7.57142857142857</v>
      </c>
      <c r="J28" s="27">
        <f>I28/2</f>
        <v>3.78571428571429</v>
      </c>
      <c r="K28" s="26">
        <v>29.5</v>
      </c>
      <c r="L28" s="26">
        <f>K28/2</f>
        <v>14.75</v>
      </c>
      <c r="M28" s="27">
        <f>J28+L28</f>
        <v>18.5357142857143</v>
      </c>
      <c r="N28" t="s" s="28">
        <v>82</v>
      </c>
    </row>
    <row r="29" ht="13.55" customHeight="1">
      <c r="A29" t="s" s="24">
        <v>83</v>
      </c>
      <c r="B29" t="s" s="25">
        <v>84</v>
      </c>
      <c r="C29" t="s" s="25">
        <v>85</v>
      </c>
      <c r="D29" s="14"/>
      <c r="E29" s="14"/>
      <c r="F29" s="26">
        <f>'lab test 1 - lab test 1 (5%)'!I28</f>
        <v>96</v>
      </c>
      <c r="G29" s="30">
        <f>'lab test 2 - lab test 2 (5 %)'!H27</f>
        <v>0</v>
      </c>
      <c r="H29" s="26">
        <f>'Programming Assignment 40% - Pr'!AH29</f>
        <v>0</v>
      </c>
      <c r="I29" s="27">
        <f>F29*0.1+G29*0.1+H29*0.8</f>
        <v>9.6</v>
      </c>
      <c r="J29" s="27">
        <f>I29/2</f>
        <v>4.8</v>
      </c>
      <c r="K29" s="26">
        <v>17</v>
      </c>
      <c r="L29" s="26">
        <f>K29/2</f>
        <v>8.5</v>
      </c>
      <c r="M29" s="27">
        <f>J29+L29</f>
        <v>13.3</v>
      </c>
      <c r="N29" t="s" s="28">
        <v>21</v>
      </c>
    </row>
    <row r="30" ht="13.55" customHeight="1">
      <c r="A30" t="s" s="24">
        <v>76</v>
      </c>
      <c r="B30" t="s" s="25">
        <v>86</v>
      </c>
      <c r="C30" t="s" s="25">
        <v>87</v>
      </c>
      <c r="D30" s="14"/>
      <c r="E30" s="14"/>
      <c r="F30" s="26">
        <f>'lab test 1 - lab test 1 (5%)'!I29</f>
        <v>92</v>
      </c>
      <c r="G30" s="30">
        <f>'lab test 2 - lab test 2 (5 %)'!H28</f>
        <v>0</v>
      </c>
      <c r="H30" s="26">
        <f>'Programming Assignment 40% - Pr'!AH30</f>
        <v>0</v>
      </c>
      <c r="I30" s="27">
        <f>F30*0.1+G30*0.1+H30*0.8</f>
        <v>9.199999999999999</v>
      </c>
      <c r="J30" s="27">
        <f>I30/2</f>
        <v>4.6</v>
      </c>
      <c r="K30" s="14"/>
      <c r="L30" s="26">
        <f>K30/2</f>
        <v>0</v>
      </c>
      <c r="M30" s="27">
        <f>J30+L30</f>
        <v>4.6</v>
      </c>
      <c r="N30" t="s" s="28">
        <v>46</v>
      </c>
    </row>
    <row r="31" ht="13.55" customHeight="1">
      <c r="A31" t="s" s="24">
        <v>88</v>
      </c>
      <c r="B31" t="s" s="25">
        <v>89</v>
      </c>
      <c r="C31" t="s" s="25">
        <v>90</v>
      </c>
      <c r="D31" s="14"/>
      <c r="E31" s="14"/>
      <c r="F31" s="26">
        <f>'lab test 1 - lab test 1 (5%)'!I30</f>
        <v>86.71428571428569</v>
      </c>
      <c r="G31" s="30">
        <f>'lab test 2 - lab test 2 (5 %)'!H29</f>
        <v>0</v>
      </c>
      <c r="H31" s="26">
        <f>'Programming Assignment 40% - Pr'!AH31</f>
        <v>0</v>
      </c>
      <c r="I31" s="27">
        <f>F31*0.1+G31*0.1+H31*0.8</f>
        <v>8.671428571428571</v>
      </c>
      <c r="J31" s="27">
        <f>I31/2</f>
        <v>4.33571428571429</v>
      </c>
      <c r="K31" s="26">
        <v>48</v>
      </c>
      <c r="L31" s="26">
        <f>K31/2</f>
        <v>24</v>
      </c>
      <c r="M31" s="27">
        <f>J31+L31</f>
        <v>28.3357142857143</v>
      </c>
      <c r="N31" s="15"/>
    </row>
    <row r="32" ht="13.55" customHeight="1">
      <c r="A32" t="s" s="24">
        <v>91</v>
      </c>
      <c r="B32" t="s" s="25">
        <v>92</v>
      </c>
      <c r="C32" t="s" s="25">
        <v>93</v>
      </c>
      <c r="D32" s="14"/>
      <c r="E32" s="14"/>
      <c r="F32" s="26">
        <f>'lab test 1 - lab test 1 (5%)'!I31</f>
        <v>100</v>
      </c>
      <c r="G32" s="30">
        <f>'lab test 2 - lab test 2 (5 %)'!H30</f>
        <v>0</v>
      </c>
      <c r="H32" s="26">
        <f>'Programming Assignment 40% - Pr'!AH32</f>
        <v>0</v>
      </c>
      <c r="I32" s="27">
        <f>F32*0.1+G32*0.1+H32*0.8</f>
        <v>10</v>
      </c>
      <c r="J32" s="27">
        <f>I32/2</f>
        <v>5</v>
      </c>
      <c r="K32" s="26">
        <v>36.5</v>
      </c>
      <c r="L32" s="26">
        <f>K32/2</f>
        <v>18.25</v>
      </c>
      <c r="M32" s="27">
        <f>J32+L32</f>
        <v>23.25</v>
      </c>
      <c r="N32" s="15"/>
    </row>
    <row r="33" ht="13.55" customHeight="1">
      <c r="A33" t="s" s="24">
        <v>28</v>
      </c>
      <c r="B33" t="s" s="25">
        <v>94</v>
      </c>
      <c r="C33" t="s" s="25">
        <v>95</v>
      </c>
      <c r="D33" s="14"/>
      <c r="E33" s="14"/>
      <c r="F33" s="26">
        <f>'lab test 1 - lab test 1 (5%)'!I32</f>
        <v>85.71428571428569</v>
      </c>
      <c r="G33" s="30">
        <f>'lab test 2 - lab test 2 (5 %)'!H31</f>
        <v>0</v>
      </c>
      <c r="H33" s="26">
        <f>'Programming Assignment 40% - Pr'!AH33</f>
        <v>0</v>
      </c>
      <c r="I33" s="27">
        <f>F33*0.1+G33*0.1+H33*0.8</f>
        <v>8.571428571428569</v>
      </c>
      <c r="J33" s="27">
        <f>I33/2</f>
        <v>4.28571428571429</v>
      </c>
      <c r="K33" s="14"/>
      <c r="L33" s="26">
        <f>K33/2</f>
        <v>0</v>
      </c>
      <c r="M33" s="27">
        <f>J33+L33</f>
        <v>4.28571428571429</v>
      </c>
      <c r="N33" t="s" s="28">
        <v>46</v>
      </c>
    </row>
    <row r="34" ht="13.55" customHeight="1">
      <c r="A34" t="s" s="24">
        <v>96</v>
      </c>
      <c r="B34" t="s" s="25">
        <v>97</v>
      </c>
      <c r="C34" t="s" s="25">
        <v>98</v>
      </c>
      <c r="D34" s="14"/>
      <c r="E34" s="14"/>
      <c r="F34" s="26">
        <f>'lab test 1 - lab test 1 (5%)'!I33</f>
        <v>100</v>
      </c>
      <c r="G34" s="30">
        <f>'lab test 2 - lab test 2 (5 %)'!H33</f>
        <v>0</v>
      </c>
      <c r="H34" s="26">
        <f>'Programming Assignment 40% - Pr'!AH35</f>
        <v>0</v>
      </c>
      <c r="I34" s="27">
        <f>F34*0.1+G34*0.1+H34*0.8</f>
        <v>10</v>
      </c>
      <c r="J34" s="27">
        <f>I34/2</f>
        <v>5</v>
      </c>
      <c r="K34" s="26">
        <v>60</v>
      </c>
      <c r="L34" s="26">
        <f>K34/2</f>
        <v>30</v>
      </c>
      <c r="M34" s="27">
        <f>J34+L34</f>
        <v>35</v>
      </c>
      <c r="N34" s="15"/>
    </row>
    <row r="35" ht="13.55" customHeight="1">
      <c r="A35" t="s" s="24">
        <v>88</v>
      </c>
      <c r="B35" t="s" s="25">
        <v>99</v>
      </c>
      <c r="C35" t="s" s="25">
        <v>100</v>
      </c>
      <c r="D35" s="14"/>
      <c r="E35" s="14"/>
      <c r="F35" s="26">
        <f>'lab test 1 - lab test 1 (5%)'!I34</f>
        <v>100</v>
      </c>
      <c r="G35" s="30">
        <f>'lab test 2 - lab test 2 (5 %)'!H34</f>
        <v>0</v>
      </c>
      <c r="H35" s="26">
        <f>'Programming Assignment 40% - Pr'!AH36</f>
        <v>0</v>
      </c>
      <c r="I35" s="27">
        <f>F35*0.1+G35*0.1+H35*0.8</f>
        <v>10</v>
      </c>
      <c r="J35" s="27">
        <f>I35/2</f>
        <v>5</v>
      </c>
      <c r="K35" s="26">
        <v>35.5</v>
      </c>
      <c r="L35" s="26">
        <f>K35/2</f>
        <v>17.75</v>
      </c>
      <c r="M35" s="27">
        <f>J35+L35</f>
        <v>22.75</v>
      </c>
      <c r="N35" s="15"/>
    </row>
    <row r="36" ht="13.55" customHeight="1">
      <c r="A36" t="s" s="24">
        <v>101</v>
      </c>
      <c r="B36" t="s" s="25">
        <v>102</v>
      </c>
      <c r="C36" t="s" s="25">
        <v>103</v>
      </c>
      <c r="D36" s="14"/>
      <c r="E36" s="14"/>
      <c r="F36" s="26">
        <f>'lab test 1 - lab test 1 (5%)'!I35</f>
        <v>0</v>
      </c>
      <c r="G36" s="30">
        <f>'lab test 2 - lab test 2 (5 %)'!H35</f>
        <v>0</v>
      </c>
      <c r="H36" s="26">
        <f>'Programming Assignment 40% - Pr'!AH37</f>
        <v>0</v>
      </c>
      <c r="I36" s="27">
        <f>F36*0.1+G36*0.1+H36*0.8</f>
        <v>0</v>
      </c>
      <c r="J36" s="27">
        <f>I36/2</f>
        <v>0</v>
      </c>
      <c r="K36" s="26">
        <v>53.5</v>
      </c>
      <c r="L36" s="26">
        <f>K36/2</f>
        <v>26.75</v>
      </c>
      <c r="M36" s="27">
        <f>J36+L36</f>
        <v>26.75</v>
      </c>
      <c r="N36" s="15"/>
    </row>
    <row r="37" ht="13.55" customHeight="1">
      <c r="A37" t="s" s="24">
        <v>104</v>
      </c>
      <c r="B37" t="s" s="25">
        <v>105</v>
      </c>
      <c r="C37" t="s" s="25">
        <v>106</v>
      </c>
      <c r="D37" s="14"/>
      <c r="E37" s="14"/>
      <c r="F37" s="26">
        <f>'lab test 1 - lab test 1 (5%)'!I36</f>
        <v>86.71428571428569</v>
      </c>
      <c r="G37" s="30">
        <f>'lab test 2 - lab test 2 (5 %)'!H36</f>
        <v>0</v>
      </c>
      <c r="H37" s="26">
        <f>'Programming Assignment 40% - Pr'!AH38</f>
        <v>0</v>
      </c>
      <c r="I37" s="27">
        <f>F37*0.1+G37*0.1+H37*0.8</f>
        <v>8.671428571428571</v>
      </c>
      <c r="J37" s="27">
        <f>I37/2</f>
        <v>4.33571428571429</v>
      </c>
      <c r="K37" s="26">
        <v>44</v>
      </c>
      <c r="L37" s="26">
        <f>K37/2</f>
        <v>22</v>
      </c>
      <c r="M37" s="27">
        <f>J37+L37</f>
        <v>26.3357142857143</v>
      </c>
      <c r="N37" s="15"/>
    </row>
    <row r="38" ht="13.55" customHeight="1">
      <c r="A38" t="s" s="24">
        <v>83</v>
      </c>
      <c r="B38" t="s" s="25">
        <v>107</v>
      </c>
      <c r="C38" t="s" s="25">
        <v>108</v>
      </c>
      <c r="D38" s="14"/>
      <c r="E38" s="14"/>
      <c r="F38" s="26">
        <f>'lab test 1 - lab test 1 (5%)'!I37</f>
        <v>0</v>
      </c>
      <c r="G38" s="30">
        <f>'lab test 2 - lab test 2 (5 %)'!H37</f>
        <v>0</v>
      </c>
      <c r="H38" s="26">
        <f>'Programming Assignment 40% - Pr'!AH39</f>
        <v>0</v>
      </c>
      <c r="I38" s="27">
        <f>F38*0.1+G38*0.1+H38*0.8</f>
        <v>0</v>
      </c>
      <c r="J38" s="27">
        <f>I38/2</f>
        <v>0</v>
      </c>
      <c r="K38" s="14"/>
      <c r="L38" s="26">
        <f>K38/2</f>
        <v>0</v>
      </c>
      <c r="M38" s="27">
        <f>J38+L38</f>
        <v>0</v>
      </c>
      <c r="N38" t="s" s="28">
        <v>21</v>
      </c>
    </row>
    <row r="39" ht="13.55" customHeight="1">
      <c r="A39" t="s" s="24">
        <v>109</v>
      </c>
      <c r="B39" t="s" s="25">
        <v>110</v>
      </c>
      <c r="C39" t="s" s="25">
        <v>111</v>
      </c>
      <c r="D39" s="14"/>
      <c r="E39" s="14"/>
      <c r="F39" s="26">
        <f>'lab test 1 - lab test 1 (5%)'!I38</f>
        <v>88</v>
      </c>
      <c r="G39" s="30">
        <f>'lab test 2 - lab test 2 (5 %)'!H38</f>
        <v>0</v>
      </c>
      <c r="H39" s="26">
        <f>'Programming Assignment 40% - Pr'!AH40</f>
        <v>0</v>
      </c>
      <c r="I39" s="27">
        <f>F39*0.1+G39*0.1+H39*0.8</f>
        <v>8.800000000000001</v>
      </c>
      <c r="J39" s="27">
        <f>I39/2</f>
        <v>4.4</v>
      </c>
      <c r="K39" s="26">
        <v>50</v>
      </c>
      <c r="L39" s="26">
        <f>K39/2</f>
        <v>25</v>
      </c>
      <c r="M39" s="27">
        <f>J39+L39</f>
        <v>29.4</v>
      </c>
      <c r="N39" s="15"/>
    </row>
    <row r="40" ht="13.55" customHeight="1">
      <c r="A40" t="s" s="24">
        <v>70</v>
      </c>
      <c r="B40" t="s" s="25">
        <v>112</v>
      </c>
      <c r="C40" t="s" s="25">
        <v>113</v>
      </c>
      <c r="D40" s="14"/>
      <c r="E40" s="14"/>
      <c r="F40" s="26">
        <f>'lab test 1 - lab test 1 (5%)'!I39</f>
        <v>45</v>
      </c>
      <c r="G40" s="30">
        <f>'lab test 2 - lab test 2 (5 %)'!H39</f>
        <v>0</v>
      </c>
      <c r="H40" s="26">
        <f>'Programming Assignment 40% - Pr'!AH41</f>
        <v>0</v>
      </c>
      <c r="I40" s="27">
        <f>F40*0.1+G40*0.1+H40*0.8</f>
        <v>4.5</v>
      </c>
      <c r="J40" s="27">
        <f>I40/2</f>
        <v>2.25</v>
      </c>
      <c r="K40" s="26">
        <v>40</v>
      </c>
      <c r="L40" s="26">
        <f>K40/2</f>
        <v>20</v>
      </c>
      <c r="M40" s="27">
        <f>J40+L40</f>
        <v>22.25</v>
      </c>
      <c r="N40" s="15"/>
    </row>
    <row r="41" ht="13.55" customHeight="1">
      <c r="A41" t="s" s="24">
        <v>40</v>
      </c>
      <c r="B41" t="s" s="25">
        <v>114</v>
      </c>
      <c r="C41" t="s" s="25">
        <v>115</v>
      </c>
      <c r="D41" s="14"/>
      <c r="E41" s="14"/>
      <c r="F41" s="26">
        <f>'lab test 1 - lab test 1 (5%)'!I40</f>
        <v>91</v>
      </c>
      <c r="G41" s="30">
        <f>'lab test 2 - lab test 2 (5 %)'!H40</f>
        <v>0</v>
      </c>
      <c r="H41" s="26">
        <f>'Programming Assignment 40% - Pr'!AH42</f>
        <v>0</v>
      </c>
      <c r="I41" s="27">
        <f>F41*0.1+G41*0.1+H41*0.8</f>
        <v>9.1</v>
      </c>
      <c r="J41" s="27">
        <f>I41/2</f>
        <v>4.55</v>
      </c>
      <c r="K41" s="26">
        <v>46</v>
      </c>
      <c r="L41" s="26">
        <f>K41/2</f>
        <v>23</v>
      </c>
      <c r="M41" s="27">
        <f>J41+L41</f>
        <v>27.55</v>
      </c>
      <c r="N41" s="15"/>
    </row>
    <row r="42" ht="19.55" customHeight="1">
      <c r="A42" t="s" s="24">
        <v>116</v>
      </c>
      <c r="B42" t="s" s="25">
        <v>117</v>
      </c>
      <c r="C42" t="s" s="25">
        <v>118</v>
      </c>
      <c r="D42" s="14"/>
      <c r="E42" s="32"/>
      <c r="F42" s="26">
        <f>'lab test 1 - lab test 1 (5%)'!I41</f>
        <v>100</v>
      </c>
      <c r="G42" s="30">
        <f>'lab test 2 - lab test 2 (5 %)'!H41</f>
        <v>0</v>
      </c>
      <c r="H42" s="26">
        <f>'Programming Assignment 40% - Pr'!AH43</f>
        <v>0</v>
      </c>
      <c r="I42" s="27">
        <f>F42*0.1+G42*0.1+H42*0.8</f>
        <v>10</v>
      </c>
      <c r="J42" s="27">
        <f>I42/2</f>
        <v>5</v>
      </c>
      <c r="K42" s="26">
        <v>35.5</v>
      </c>
      <c r="L42" s="26">
        <f>K42/2</f>
        <v>17.75</v>
      </c>
      <c r="M42" s="27">
        <f>J42+L42</f>
        <v>22.75</v>
      </c>
      <c r="N42" s="15"/>
    </row>
    <row r="43" ht="13.65" customHeight="1">
      <c r="A43" t="s" s="33">
        <v>119</v>
      </c>
      <c r="B43" t="s" s="34">
        <v>120</v>
      </c>
      <c r="C43" s="14"/>
      <c r="D43" s="14"/>
      <c r="E43" s="14"/>
      <c r="F43" s="26">
        <f>'lab test 1 - lab test 1 (5%)'!I42</f>
        <v>79.4285714285714</v>
      </c>
      <c r="G43" s="14"/>
      <c r="H43" s="14"/>
      <c r="I43" s="14"/>
      <c r="J43" s="14"/>
      <c r="K43" s="14"/>
      <c r="L43" s="14"/>
      <c r="M43" s="14"/>
      <c r="N43" s="15"/>
    </row>
    <row r="44" ht="13.65" customHeight="1">
      <c r="A44" t="s" s="33">
        <v>121</v>
      </c>
      <c r="B44" t="s" s="34">
        <v>122</v>
      </c>
      <c r="C44" s="14"/>
      <c r="D44" s="14"/>
      <c r="E44" s="14"/>
      <c r="F44" s="26">
        <f>'lab test 1 - lab test 1 (5%)'!I43</f>
        <v>100</v>
      </c>
      <c r="G44" s="14"/>
      <c r="H44" s="14"/>
      <c r="I44" s="14"/>
      <c r="J44" s="14"/>
      <c r="K44" s="14"/>
      <c r="L44" s="14"/>
      <c r="M44" s="14"/>
      <c r="N44" s="15"/>
    </row>
    <row r="45" ht="13.65" customHeight="1">
      <c r="A45" t="s" s="33">
        <v>123</v>
      </c>
      <c r="B45" t="s" s="34">
        <v>124</v>
      </c>
      <c r="C45" s="14"/>
      <c r="D45" s="14"/>
      <c r="E45" s="14"/>
      <c r="F45" s="26">
        <f>'lab test 1 - lab test 1 (5%)'!I44</f>
        <v>100</v>
      </c>
      <c r="G45" s="14"/>
      <c r="H45" s="14"/>
      <c r="I45" s="14"/>
      <c r="J45" s="14"/>
      <c r="K45" s="14"/>
      <c r="L45" s="14"/>
      <c r="M45" s="14"/>
      <c r="N45" s="15"/>
    </row>
    <row r="46" ht="13.65" customHeight="1">
      <c r="A46" t="s" s="33">
        <v>125</v>
      </c>
      <c r="B46" t="s" s="34">
        <v>126</v>
      </c>
      <c r="C46" s="14"/>
      <c r="D46" s="14"/>
      <c r="E46" s="14"/>
      <c r="F46" s="26">
        <f>'lab test 1 - lab test 1 (5%)'!I45</f>
        <v>100</v>
      </c>
      <c r="G46" s="14"/>
      <c r="H46" s="14"/>
      <c r="I46" s="14"/>
      <c r="J46" s="14"/>
      <c r="K46" s="14"/>
      <c r="L46" s="14"/>
      <c r="M46" s="14"/>
      <c r="N46" s="15"/>
    </row>
    <row r="47" ht="14.65" customHeight="1">
      <c r="A47" t="s" s="35">
        <v>127</v>
      </c>
      <c r="B47" t="s" s="36">
        <v>128</v>
      </c>
      <c r="C47" s="37"/>
      <c r="D47" s="37"/>
      <c r="E47" s="37"/>
      <c r="F47" s="38">
        <f>'lab test 1 - lab test 1 (5%)'!I46</f>
        <v>100</v>
      </c>
      <c r="G47" s="37"/>
      <c r="H47" s="37"/>
      <c r="I47" s="37"/>
      <c r="J47" s="37"/>
      <c r="K47" s="37"/>
      <c r="L47" s="37"/>
      <c r="M47" s="37"/>
      <c r="N47" s="39"/>
    </row>
  </sheetData>
  <mergeCells count="37">
    <mergeCell ref="A1:N1"/>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s>
  <hyperlinks>
    <hyperlink ref="C8" r:id="rId1" location="" tooltip="" display="20098868@mail.wit.ie"/>
    <hyperlink ref="C9" r:id="rId2" location="" tooltip="" display="20098580@mail.wit.ie"/>
    <hyperlink ref="C10" r:id="rId3" location="" tooltip="" display="20097938@mail.wit.ie"/>
    <hyperlink ref="C11" r:id="rId4" location="" tooltip="" display="20097733@mail.wit.ie"/>
    <hyperlink ref="C12" r:id="rId5" location="" tooltip="" display="20099297@mail.wit.ie"/>
    <hyperlink ref="C13" r:id="rId6" location="" tooltip="" display="20098325@mail.wit.ie"/>
    <hyperlink ref="C14" r:id="rId7" location="" tooltip="" display="20094146@mail.wit.ie"/>
    <hyperlink ref="C15" r:id="rId8" location="" tooltip="" display="20096595@mail.wit.ie"/>
    <hyperlink ref="C16" r:id="rId9" location="" tooltip="" display="20077347@mail.wit.ie"/>
    <hyperlink ref="C17" r:id="rId10" location="" tooltip="" display="20083540@mail.wit.ie"/>
    <hyperlink ref="C18" r:id="rId11" location="" tooltip="" display="20096714@mail.wit.ie"/>
    <hyperlink ref="C19" r:id="rId12" location="" tooltip="" display="20098690@mail.wit.ie"/>
    <hyperlink ref="C20" r:id="rId13" location="" tooltip="" display="20098155@mail.wit.ie"/>
    <hyperlink ref="C21" r:id="rId14" location="" tooltip="" display="20098721@mail.wit.ie"/>
    <hyperlink ref="C22" r:id="rId15" location="" tooltip="" display="20070585@mail.wit.ie"/>
    <hyperlink ref="C23" r:id="rId16" location="" tooltip="" display="20097562@mail.wit.ie"/>
    <hyperlink ref="C24" r:id="rId17" location="" tooltip="" display="20088959@mail.wit.ie"/>
    <hyperlink ref="C25" r:id="rId18" location="" tooltip="" display="20098168@mail.wit.ie"/>
    <hyperlink ref="C26" r:id="rId19" location="" tooltip="" display="imbriani.paolo@hotmail.com"/>
    <hyperlink ref="C27" r:id="rId20" location="" tooltip="" display="20098745@mail.wit.ie"/>
    <hyperlink ref="C28" r:id="rId21" location="" tooltip="" display="20098730@mail.wit.ie"/>
    <hyperlink ref="C29" r:id="rId22" location="" tooltip="" display="20098918@mail.wit.ie"/>
    <hyperlink ref="C30" r:id="rId23" location="" tooltip="" display="20084608@mail.wit.ie"/>
    <hyperlink ref="C31" r:id="rId24" location="" tooltip="" display="20099160@mail.wit.ie"/>
    <hyperlink ref="C32" r:id="rId25" location="" tooltip="" display="20097866@mail.wit.ie"/>
    <hyperlink ref="C33" r:id="rId26" location="" tooltip="" display="20092433@mail.wit.ie"/>
    <hyperlink ref="C34" r:id="rId27" location="" tooltip="" display="20094677@mail.wit.ie"/>
    <hyperlink ref="C35" r:id="rId28" location="" tooltip="" display="20098078@mail.wit.ie"/>
    <hyperlink ref="C36" r:id="rId29" location="" tooltip="" display="20088394@mail.wit.ie"/>
    <hyperlink ref="C37" r:id="rId30" location="" tooltip="" display="20098637@mail.wit.ie"/>
    <hyperlink ref="C38" r:id="rId31" location="" tooltip="" display="20098583@mail.wit.ie"/>
    <hyperlink ref="C39" r:id="rId32" location="" tooltip="" display="20098384@mail.wit.ie"/>
    <hyperlink ref="C40" r:id="rId33" location="" tooltip="" display="20098241@mail.wit.ie"/>
    <hyperlink ref="C41" r:id="rId34" location="" tooltip="" display="20067691@mail.wit.ie"/>
    <hyperlink ref="C42" r:id="rId35" location="" tooltip="" display="20097873@mail.wit.ie"/>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P46"/>
  <sheetViews>
    <sheetView workbookViewId="0" showGridLines="0" defaultGridColor="1">
      <pane topLeftCell="C6" xSplit="2" ySplit="5" activePane="bottomRight" state="frozen"/>
    </sheetView>
  </sheetViews>
  <sheetFormatPr defaultColWidth="16.3333" defaultRowHeight="15.4" customHeight="1" outlineLevelRow="0" outlineLevelCol="0"/>
  <cols>
    <col min="1" max="1" width="8.9375" style="40" customWidth="1"/>
    <col min="2" max="2" width="16.3516" style="40" customWidth="1"/>
    <col min="3" max="3" width="12.1328" style="40" customWidth="1"/>
    <col min="4" max="4" width="8.90625" style="40" customWidth="1"/>
    <col min="5" max="5" width="9.8125" style="40" customWidth="1"/>
    <col min="6" max="6" width="16.5078" style="40" customWidth="1"/>
    <col min="7" max="7" width="11.7656" style="40" customWidth="1"/>
    <col min="8" max="8" width="8.90625" style="40" customWidth="1"/>
    <col min="9" max="16" width="16.3516" style="40" customWidth="1"/>
    <col min="17" max="16384" width="16.3516" style="40" customWidth="1"/>
  </cols>
  <sheetData>
    <row r="1" ht="15.55" customHeight="1">
      <c r="A1" t="s" s="7">
        <v>130</v>
      </c>
      <c r="B1" s="7"/>
      <c r="C1" s="7"/>
      <c r="D1" s="7"/>
      <c r="E1" s="7"/>
      <c r="F1" s="7"/>
      <c r="G1" s="7"/>
      <c r="H1" s="7"/>
      <c r="I1" s="7"/>
      <c r="J1" s="7"/>
      <c r="K1" s="7"/>
      <c r="L1" s="7"/>
      <c r="M1" s="7"/>
      <c r="N1" s="7"/>
      <c r="O1" s="7"/>
      <c r="P1" s="7"/>
    </row>
    <row r="2" ht="13" customHeight="1">
      <c r="A2" s="41"/>
      <c r="B2" s="42"/>
      <c r="C2" t="s" s="43">
        <v>132</v>
      </c>
      <c r="D2" s="42"/>
      <c r="E2" t="s" s="43">
        <v>133</v>
      </c>
      <c r="F2" s="42"/>
      <c r="G2" t="s" s="43">
        <v>134</v>
      </c>
      <c r="H2" s="42"/>
      <c r="I2" t="s" s="43">
        <v>135</v>
      </c>
      <c r="J2" s="44"/>
      <c r="K2" s="44"/>
      <c r="L2" s="44"/>
      <c r="M2" s="44"/>
      <c r="N2" s="44"/>
      <c r="O2" s="44"/>
      <c r="P2" s="44"/>
    </row>
    <row r="3" ht="36.9" customHeight="1">
      <c r="A3" s="41"/>
      <c r="B3" s="42"/>
      <c r="C3" t="s" s="45">
        <v>136</v>
      </c>
      <c r="D3" t="s" s="45">
        <v>137</v>
      </c>
      <c r="E3" t="s" s="45">
        <v>138</v>
      </c>
      <c r="F3" t="s" s="45">
        <v>139</v>
      </c>
      <c r="G3" t="s" s="45">
        <v>140</v>
      </c>
      <c r="H3" t="s" s="45">
        <v>139</v>
      </c>
      <c r="I3" s="46">
        <v>0</v>
      </c>
      <c r="J3" s="47"/>
      <c r="K3" s="47"/>
      <c r="L3" s="47"/>
      <c r="M3" s="47"/>
      <c r="N3" s="47"/>
      <c r="O3" s="47"/>
      <c r="P3" s="47"/>
    </row>
    <row r="4" ht="13" customHeight="1">
      <c r="A4" s="41"/>
      <c r="B4" s="42"/>
      <c r="C4" s="48">
        <v>10</v>
      </c>
      <c r="D4" s="48">
        <f>C4*4</f>
        <v>40</v>
      </c>
      <c r="E4" s="48">
        <v>6</v>
      </c>
      <c r="F4" s="49">
        <f>E4*30/6</f>
        <v>30</v>
      </c>
      <c r="G4" s="48">
        <v>7</v>
      </c>
      <c r="H4" s="48">
        <f>((G4/7)*30)</f>
        <v>30</v>
      </c>
      <c r="I4" s="49">
        <f>SUM(D4,H4,F4)</f>
        <v>100</v>
      </c>
      <c r="J4" s="42"/>
      <c r="K4" s="42"/>
      <c r="L4" s="42"/>
      <c r="M4" s="42"/>
      <c r="N4" s="42"/>
      <c r="O4" s="42"/>
      <c r="P4" s="42"/>
    </row>
    <row r="5" ht="13.2" customHeight="1">
      <c r="A5" t="s" s="50">
        <v>141</v>
      </c>
      <c r="B5" t="s" s="50">
        <v>142</v>
      </c>
      <c r="C5" s="51"/>
      <c r="D5" s="51"/>
      <c r="E5" s="51"/>
      <c r="F5" s="52"/>
      <c r="G5" s="51"/>
      <c r="H5" s="51"/>
      <c r="I5" s="53">
        <f>SUM(D5,H5,F5)</f>
        <v>0</v>
      </c>
      <c r="J5" s="51"/>
      <c r="K5" s="51"/>
      <c r="L5" s="51"/>
      <c r="M5" s="51"/>
      <c r="N5" s="51"/>
      <c r="O5" s="51"/>
      <c r="P5" s="51"/>
    </row>
    <row r="6" ht="13.1" customHeight="1">
      <c r="A6" s="54"/>
      <c r="B6" s="55"/>
      <c r="C6" s="56"/>
      <c r="D6" s="57"/>
      <c r="E6" s="57"/>
      <c r="F6" s="58">
        <f>E6*30/7</f>
        <v>0</v>
      </c>
      <c r="G6" s="57"/>
      <c r="H6" s="58">
        <f>G6*30/7</f>
        <v>0</v>
      </c>
      <c r="I6" s="58">
        <f>SUM(D6,H6,F6)</f>
        <v>0</v>
      </c>
      <c r="J6" s="57"/>
      <c r="K6" s="57"/>
      <c r="L6" s="57"/>
      <c r="M6" s="57"/>
      <c r="N6" s="57"/>
      <c r="O6" s="57"/>
      <c r="P6" s="57"/>
    </row>
    <row r="7" ht="12.9" customHeight="1">
      <c r="A7" t="s" s="59">
        <v>18</v>
      </c>
      <c r="B7" t="s" s="60">
        <v>19</v>
      </c>
      <c r="C7" s="61">
        <v>10</v>
      </c>
      <c r="D7" s="62">
        <f>C7*4</f>
        <v>40</v>
      </c>
      <c r="E7" s="63">
        <v>6</v>
      </c>
      <c r="F7" s="49">
        <f>E7*30/6</f>
        <v>30</v>
      </c>
      <c r="G7" s="63">
        <v>7</v>
      </c>
      <c r="H7" s="64">
        <f>G7*30/7</f>
        <v>30</v>
      </c>
      <c r="I7" s="64">
        <f>SUM(D7,H7,F7)</f>
        <v>100</v>
      </c>
      <c r="J7" s="65"/>
      <c r="K7" s="65"/>
      <c r="L7" s="65"/>
      <c r="M7" s="65"/>
      <c r="N7" s="65"/>
      <c r="O7" s="65"/>
      <c r="P7" s="65"/>
    </row>
    <row r="8" ht="12.9" customHeight="1">
      <c r="A8" t="s" s="59">
        <v>22</v>
      </c>
      <c r="B8" t="s" s="60">
        <v>23</v>
      </c>
      <c r="C8" s="61">
        <v>10</v>
      </c>
      <c r="D8" s="62">
        <f>C8*4</f>
        <v>40</v>
      </c>
      <c r="E8" s="63">
        <v>6</v>
      </c>
      <c r="F8" s="49">
        <f>E8*30/6</f>
        <v>30</v>
      </c>
      <c r="G8" s="63">
        <v>7</v>
      </c>
      <c r="H8" s="64">
        <f>G8*30/7</f>
        <v>30</v>
      </c>
      <c r="I8" s="64">
        <f>SUM(D8,H8,F8)</f>
        <v>100</v>
      </c>
      <c r="J8" s="65"/>
      <c r="K8" s="65"/>
      <c r="L8" s="65"/>
      <c r="M8" s="65"/>
      <c r="N8" s="65"/>
      <c r="O8" s="65"/>
      <c r="P8" s="65"/>
    </row>
    <row r="9" ht="12.9" customHeight="1">
      <c r="A9" t="s" s="59">
        <v>25</v>
      </c>
      <c r="B9" t="s" s="60">
        <v>26</v>
      </c>
      <c r="C9" s="61">
        <v>9</v>
      </c>
      <c r="D9" s="62">
        <f>C9*4</f>
        <v>36</v>
      </c>
      <c r="E9" s="63">
        <v>5</v>
      </c>
      <c r="F9" s="49">
        <f>E9*30/6</f>
        <v>25</v>
      </c>
      <c r="G9" s="63">
        <v>7</v>
      </c>
      <c r="H9" s="64">
        <f>G9*30/7</f>
        <v>30</v>
      </c>
      <c r="I9" s="64">
        <f>SUM(D9,H9,F9)</f>
        <v>91</v>
      </c>
      <c r="J9" s="65"/>
      <c r="K9" s="65"/>
      <c r="L9" s="65"/>
      <c r="M9" s="65"/>
      <c r="N9" s="65"/>
      <c r="O9" s="65"/>
      <c r="P9" s="65"/>
    </row>
    <row r="10" ht="12.9" customHeight="1">
      <c r="A10" t="s" s="59">
        <v>28</v>
      </c>
      <c r="B10" t="s" s="60">
        <v>29</v>
      </c>
      <c r="C10" s="61">
        <v>8</v>
      </c>
      <c r="D10" s="62">
        <f>C10*4</f>
        <v>32</v>
      </c>
      <c r="E10" s="63">
        <v>6</v>
      </c>
      <c r="F10" s="49">
        <f>E10*30/6</f>
        <v>30</v>
      </c>
      <c r="G10" s="63">
        <v>7</v>
      </c>
      <c r="H10" s="64">
        <f>G10*30/7</f>
        <v>30</v>
      </c>
      <c r="I10" s="64">
        <f>SUM(D10,H10,F10)</f>
        <v>92</v>
      </c>
      <c r="J10" s="65"/>
      <c r="K10" s="65"/>
      <c r="L10" s="65"/>
      <c r="M10" s="65"/>
      <c r="N10" s="65"/>
      <c r="O10" s="65"/>
      <c r="P10" s="65"/>
    </row>
    <row r="11" ht="12.9" customHeight="1">
      <c r="A11" t="s" s="59">
        <v>31</v>
      </c>
      <c r="B11" t="s" s="60">
        <v>32</v>
      </c>
      <c r="C11" s="61">
        <v>10</v>
      </c>
      <c r="D11" s="62">
        <f>C11*4</f>
        <v>40</v>
      </c>
      <c r="E11" s="63">
        <v>6</v>
      </c>
      <c r="F11" s="49">
        <f>E11*30/6</f>
        <v>30</v>
      </c>
      <c r="G11" s="63">
        <v>6</v>
      </c>
      <c r="H11" s="64">
        <f>G11*30/7</f>
        <v>25.7142857142857</v>
      </c>
      <c r="I11" s="64">
        <f>SUM(D11,H11,F11)</f>
        <v>95.71428571428569</v>
      </c>
      <c r="J11" s="65"/>
      <c r="K11" s="65"/>
      <c r="L11" s="65"/>
      <c r="M11" s="65"/>
      <c r="N11" s="65"/>
      <c r="O11" s="65"/>
      <c r="P11" s="65"/>
    </row>
    <row r="12" ht="12.9" customHeight="1">
      <c r="A12" t="s" s="59">
        <v>34</v>
      </c>
      <c r="B12" t="s" s="60">
        <v>35</v>
      </c>
      <c r="C12" s="61">
        <v>10</v>
      </c>
      <c r="D12" s="62">
        <f>C12*4</f>
        <v>40</v>
      </c>
      <c r="E12" s="63">
        <v>6</v>
      </c>
      <c r="F12" s="49">
        <f>E12*30/6</f>
        <v>30</v>
      </c>
      <c r="G12" s="63">
        <v>7</v>
      </c>
      <c r="H12" s="64">
        <f>G12*30/7</f>
        <v>30</v>
      </c>
      <c r="I12" s="64">
        <f>SUM(D12,H12,F12)</f>
        <v>100</v>
      </c>
      <c r="J12" s="65"/>
      <c r="K12" s="65"/>
      <c r="L12" s="65"/>
      <c r="M12" s="65"/>
      <c r="N12" s="65"/>
      <c r="O12" s="65"/>
      <c r="P12" s="65"/>
    </row>
    <row r="13" ht="12.9" customHeight="1">
      <c r="A13" t="s" s="59">
        <v>37</v>
      </c>
      <c r="B13" t="s" s="60">
        <v>38</v>
      </c>
      <c r="C13" s="61">
        <v>8</v>
      </c>
      <c r="D13" s="62">
        <f>C13*4</f>
        <v>32</v>
      </c>
      <c r="E13" s="63">
        <v>4</v>
      </c>
      <c r="F13" s="49">
        <f>E13*30/6</f>
        <v>20</v>
      </c>
      <c r="G13" s="63">
        <v>6</v>
      </c>
      <c r="H13" s="64">
        <f>G13*30/7</f>
        <v>25.7142857142857</v>
      </c>
      <c r="I13" s="64">
        <f>SUM(D13,H13,F13)</f>
        <v>77.71428571428569</v>
      </c>
      <c r="J13" s="65"/>
      <c r="K13" s="65"/>
      <c r="L13" s="65"/>
      <c r="M13" s="65"/>
      <c r="N13" s="65"/>
      <c r="O13" s="65"/>
      <c r="P13" s="65"/>
    </row>
    <row r="14" ht="12.9" customHeight="1">
      <c r="A14" t="s" s="59">
        <v>40</v>
      </c>
      <c r="B14" t="s" s="60">
        <v>41</v>
      </c>
      <c r="C14" s="66"/>
      <c r="D14" s="62">
        <f>C14*4</f>
        <v>0</v>
      </c>
      <c r="E14" s="65"/>
      <c r="F14" s="49">
        <f>E14*30/6</f>
        <v>0</v>
      </c>
      <c r="G14" s="65"/>
      <c r="H14" s="64">
        <f>G14*30/7</f>
        <v>0</v>
      </c>
      <c r="I14" s="64">
        <f>SUM(D14,H14,F14)</f>
        <v>0</v>
      </c>
      <c r="J14" s="65"/>
      <c r="K14" s="65"/>
      <c r="L14" s="65"/>
      <c r="M14" s="65"/>
      <c r="N14" s="65"/>
      <c r="O14" s="65"/>
      <c r="P14" s="65"/>
    </row>
    <row r="15" ht="12.9" customHeight="1">
      <c r="A15" t="s" s="59">
        <v>43</v>
      </c>
      <c r="B15" t="s" s="60">
        <v>44</v>
      </c>
      <c r="C15" s="61">
        <v>10</v>
      </c>
      <c r="D15" s="62">
        <f>C15*4</f>
        <v>40</v>
      </c>
      <c r="E15" s="63">
        <v>6</v>
      </c>
      <c r="F15" s="49">
        <f>E15*30/6</f>
        <v>30</v>
      </c>
      <c r="G15" s="63">
        <v>7</v>
      </c>
      <c r="H15" s="64">
        <f>G15*30/7</f>
        <v>30</v>
      </c>
      <c r="I15" s="64">
        <f>SUM(D15,H15,F15)</f>
        <v>100</v>
      </c>
      <c r="J15" s="65"/>
      <c r="K15" s="65"/>
      <c r="L15" s="65"/>
      <c r="M15" s="65"/>
      <c r="N15" s="65"/>
      <c r="O15" s="65"/>
      <c r="P15" s="65"/>
    </row>
    <row r="16" ht="12.9" customHeight="1">
      <c r="A16" t="s" s="59">
        <v>47</v>
      </c>
      <c r="B16" t="s" s="60">
        <v>48</v>
      </c>
      <c r="C16" s="61">
        <v>2</v>
      </c>
      <c r="D16" s="62">
        <f>C16*4</f>
        <v>8</v>
      </c>
      <c r="E16" s="63">
        <v>6</v>
      </c>
      <c r="F16" s="49">
        <f>E16*30/6</f>
        <v>30</v>
      </c>
      <c r="G16" s="63">
        <v>7</v>
      </c>
      <c r="H16" s="64">
        <f>G16*30/7</f>
        <v>30</v>
      </c>
      <c r="I16" s="64">
        <f>SUM(D16,H16,F16)</f>
        <v>68</v>
      </c>
      <c r="J16" s="65"/>
      <c r="K16" s="65"/>
      <c r="L16" s="65"/>
      <c r="M16" s="65"/>
      <c r="N16" s="65"/>
      <c r="O16" s="65"/>
      <c r="P16" s="65"/>
    </row>
    <row r="17" ht="12.9" customHeight="1">
      <c r="A17" t="s" s="59">
        <v>50</v>
      </c>
      <c r="B17" t="s" s="60">
        <v>51</v>
      </c>
      <c r="C17" s="61">
        <v>0</v>
      </c>
      <c r="D17" s="62">
        <f>C17*4</f>
        <v>0</v>
      </c>
      <c r="E17" s="63">
        <v>6</v>
      </c>
      <c r="F17" s="49">
        <f>E17*30/6</f>
        <v>30</v>
      </c>
      <c r="G17" s="63">
        <v>7</v>
      </c>
      <c r="H17" s="64">
        <f>G17*30/7</f>
        <v>30</v>
      </c>
      <c r="I17" s="64">
        <f>SUM(D17,H17,F17)</f>
        <v>60</v>
      </c>
      <c r="J17" t="s" s="67">
        <v>143</v>
      </c>
      <c r="K17" s="65"/>
      <c r="L17" s="65"/>
      <c r="M17" s="65"/>
      <c r="N17" s="65"/>
      <c r="O17" s="65"/>
      <c r="P17" s="65"/>
    </row>
    <row r="18" ht="12.9" customHeight="1">
      <c r="A18" t="s" s="59">
        <v>37</v>
      </c>
      <c r="B18" t="s" s="60">
        <v>51</v>
      </c>
      <c r="C18" s="61">
        <v>10</v>
      </c>
      <c r="D18" s="62">
        <f>C18*4</f>
        <v>40</v>
      </c>
      <c r="E18" s="63">
        <v>6</v>
      </c>
      <c r="F18" s="49">
        <f>E18*30/6</f>
        <v>30</v>
      </c>
      <c r="G18" s="63">
        <v>7</v>
      </c>
      <c r="H18" s="64">
        <f>G18*30/7</f>
        <v>30</v>
      </c>
      <c r="I18" s="64">
        <f>SUM(D18,H18,F18)</f>
        <v>100</v>
      </c>
      <c r="J18" s="65"/>
      <c r="K18" s="65"/>
      <c r="L18" s="65"/>
      <c r="M18" s="65"/>
      <c r="N18" s="65"/>
      <c r="O18" s="65"/>
      <c r="P18" s="65"/>
    </row>
    <row r="19" ht="12.9" customHeight="1">
      <c r="A19" t="s" s="59">
        <v>54</v>
      </c>
      <c r="B19" t="s" s="60">
        <v>55</v>
      </c>
      <c r="C19" s="61">
        <v>10</v>
      </c>
      <c r="D19" s="62">
        <f>C19*4</f>
        <v>40</v>
      </c>
      <c r="E19" s="63">
        <v>6</v>
      </c>
      <c r="F19" s="49">
        <f>E19*30/6</f>
        <v>30</v>
      </c>
      <c r="G19" s="63">
        <v>7</v>
      </c>
      <c r="H19" s="64">
        <f>G19*30/7</f>
        <v>30</v>
      </c>
      <c r="I19" s="64">
        <f>SUM(D19,H19,F19)</f>
        <v>100</v>
      </c>
      <c r="J19" s="65"/>
      <c r="K19" s="65"/>
      <c r="L19" s="65"/>
      <c r="M19" s="65"/>
      <c r="N19" s="65"/>
      <c r="O19" s="65"/>
      <c r="P19" s="65"/>
    </row>
    <row r="20" ht="12.9" customHeight="1">
      <c r="A20" t="s" s="59">
        <v>57</v>
      </c>
      <c r="B20" t="s" s="60">
        <v>58</v>
      </c>
      <c r="C20" s="61">
        <v>10</v>
      </c>
      <c r="D20" s="62">
        <f>C20*4</f>
        <v>40</v>
      </c>
      <c r="E20" s="63">
        <v>5</v>
      </c>
      <c r="F20" s="49">
        <f>E20*30/6</f>
        <v>25</v>
      </c>
      <c r="G20" s="63">
        <v>7</v>
      </c>
      <c r="H20" s="64">
        <f>G20*30/7</f>
        <v>30</v>
      </c>
      <c r="I20" s="64">
        <f>SUM(D20,H20,F20)</f>
        <v>95</v>
      </c>
      <c r="J20" s="65"/>
      <c r="K20" s="65"/>
      <c r="L20" s="65"/>
      <c r="M20" s="65"/>
      <c r="N20" s="65"/>
      <c r="O20" s="65"/>
      <c r="P20" s="65"/>
    </row>
    <row r="21" ht="12.9" customHeight="1">
      <c r="A21" t="s" s="59">
        <v>61</v>
      </c>
      <c r="B21" t="s" s="60">
        <v>62</v>
      </c>
      <c r="C21" s="66"/>
      <c r="D21" s="62">
        <f>C21*4</f>
        <v>0</v>
      </c>
      <c r="E21" s="65"/>
      <c r="F21" s="49">
        <f>E21*30/6</f>
        <v>0</v>
      </c>
      <c r="G21" s="65"/>
      <c r="H21" s="64">
        <f>G21*30/7</f>
        <v>0</v>
      </c>
      <c r="I21" s="64">
        <f>SUM(D21,H21,F21)</f>
        <v>0</v>
      </c>
      <c r="J21" s="65"/>
      <c r="K21" s="65"/>
      <c r="L21" s="65"/>
      <c r="M21" s="65"/>
      <c r="N21" s="65"/>
      <c r="O21" s="65"/>
      <c r="P21" s="65"/>
    </row>
    <row r="22" ht="12.9" customHeight="1">
      <c r="A22" t="s" s="59">
        <v>64</v>
      </c>
      <c r="B22" t="s" s="60">
        <v>65</v>
      </c>
      <c r="C22" s="61">
        <v>9</v>
      </c>
      <c r="D22" s="62">
        <f>C22*4</f>
        <v>36</v>
      </c>
      <c r="E22" s="63">
        <v>6</v>
      </c>
      <c r="F22" s="49">
        <f>E22*30/6</f>
        <v>30</v>
      </c>
      <c r="G22" s="63">
        <v>7</v>
      </c>
      <c r="H22" s="64">
        <f>G22*30/7</f>
        <v>30</v>
      </c>
      <c r="I22" s="64">
        <f>SUM(D22,H22,F22)</f>
        <v>96</v>
      </c>
      <c r="J22" s="65"/>
      <c r="K22" s="65"/>
      <c r="L22" s="65"/>
      <c r="M22" s="65"/>
      <c r="N22" s="65"/>
      <c r="O22" s="65"/>
      <c r="P22" s="65"/>
    </row>
    <row r="23" ht="12.9" customHeight="1">
      <c r="A23" t="s" s="59">
        <v>67</v>
      </c>
      <c r="B23" t="s" s="60">
        <v>68</v>
      </c>
      <c r="C23" s="61">
        <v>8</v>
      </c>
      <c r="D23" s="62">
        <f>C23*4</f>
        <v>32</v>
      </c>
      <c r="E23" s="63">
        <v>6</v>
      </c>
      <c r="F23" s="49">
        <f>E23*30/6</f>
        <v>30</v>
      </c>
      <c r="G23" s="63">
        <v>6</v>
      </c>
      <c r="H23" s="64">
        <f>G23*30/7</f>
        <v>25.7142857142857</v>
      </c>
      <c r="I23" s="64">
        <f>SUM(D23,H23,F23)</f>
        <v>87.71428571428569</v>
      </c>
      <c r="J23" s="65"/>
      <c r="K23" s="65"/>
      <c r="L23" s="65"/>
      <c r="M23" s="65"/>
      <c r="N23" s="65"/>
      <c r="O23" s="65"/>
      <c r="P23" s="65"/>
    </row>
    <row r="24" ht="12.9" customHeight="1">
      <c r="A24" t="s" s="59">
        <v>70</v>
      </c>
      <c r="B24" t="s" s="60">
        <v>71</v>
      </c>
      <c r="C24" s="61">
        <v>10</v>
      </c>
      <c r="D24" s="62">
        <f>C24*4</f>
        <v>40</v>
      </c>
      <c r="E24" s="63">
        <v>6</v>
      </c>
      <c r="F24" s="49">
        <f>E24*30/6</f>
        <v>30</v>
      </c>
      <c r="G24" s="63">
        <v>7</v>
      </c>
      <c r="H24" s="64">
        <f>G24*30/7</f>
        <v>30</v>
      </c>
      <c r="I24" s="64">
        <f>SUM(D24,H24,F24)</f>
        <v>100</v>
      </c>
      <c r="J24" s="65"/>
      <c r="K24" s="65"/>
      <c r="L24" s="65"/>
      <c r="M24" s="65"/>
      <c r="N24" s="65"/>
      <c r="O24" s="65"/>
      <c r="P24" s="65"/>
    </row>
    <row r="25" ht="12.9" customHeight="1">
      <c r="A25" t="s" s="59">
        <v>73</v>
      </c>
      <c r="B25" t="s" s="60">
        <v>74</v>
      </c>
      <c r="C25" s="61">
        <v>10</v>
      </c>
      <c r="D25" s="62">
        <f>C25*4</f>
        <v>40</v>
      </c>
      <c r="E25" s="63">
        <v>6</v>
      </c>
      <c r="F25" s="49">
        <f>E25*30/6</f>
        <v>30</v>
      </c>
      <c r="G25" s="63">
        <v>7</v>
      </c>
      <c r="H25" s="64">
        <f>G25*30/7</f>
        <v>30</v>
      </c>
      <c r="I25" s="64">
        <f>SUM(D25,H25,F25)</f>
        <v>100</v>
      </c>
      <c r="J25" s="65"/>
      <c r="K25" s="65"/>
      <c r="L25" s="65"/>
      <c r="M25" s="65"/>
      <c r="N25" s="65"/>
      <c r="O25" s="65"/>
      <c r="P25" s="65"/>
    </row>
    <row r="26" ht="12.9" customHeight="1">
      <c r="A26" t="s" s="59">
        <v>76</v>
      </c>
      <c r="B26" t="s" s="60">
        <v>77</v>
      </c>
      <c r="C26" s="61">
        <v>3</v>
      </c>
      <c r="D26" s="62">
        <f>C26*4</f>
        <v>12</v>
      </c>
      <c r="E26" s="63">
        <v>4</v>
      </c>
      <c r="F26" s="49">
        <f>E26*30/6</f>
        <v>20</v>
      </c>
      <c r="G26" s="63">
        <v>5</v>
      </c>
      <c r="H26" s="64">
        <f>G26*30/7</f>
        <v>21.4285714285714</v>
      </c>
      <c r="I26" s="64">
        <f>SUM(D26,H26,F26)</f>
        <v>53.4285714285714</v>
      </c>
      <c r="J26" s="65"/>
      <c r="K26" s="65"/>
      <c r="L26" s="65"/>
      <c r="M26" s="65"/>
      <c r="N26" s="65"/>
      <c r="O26" s="65"/>
      <c r="P26" s="65"/>
    </row>
    <row r="27" ht="12.9" customHeight="1">
      <c r="A27" t="s" s="59">
        <v>79</v>
      </c>
      <c r="B27" t="s" s="60">
        <v>80</v>
      </c>
      <c r="C27" s="61">
        <v>5</v>
      </c>
      <c r="D27" s="62">
        <f>C27*4</f>
        <v>20</v>
      </c>
      <c r="E27" s="63">
        <v>6</v>
      </c>
      <c r="F27" s="49">
        <f>E27*30/6</f>
        <v>30</v>
      </c>
      <c r="G27" s="63">
        <v>6</v>
      </c>
      <c r="H27" s="64">
        <f>G27*30/7</f>
        <v>25.7142857142857</v>
      </c>
      <c r="I27" s="64">
        <f>SUM(D27,H27,F27)</f>
        <v>75.71428571428569</v>
      </c>
      <c r="J27" s="65"/>
      <c r="K27" s="65"/>
      <c r="L27" s="65"/>
      <c r="M27" s="65"/>
      <c r="N27" s="65"/>
      <c r="O27" s="65"/>
      <c r="P27" s="65"/>
    </row>
    <row r="28" ht="12.9" customHeight="1">
      <c r="A28" t="s" s="59">
        <v>83</v>
      </c>
      <c r="B28" t="s" s="60">
        <v>84</v>
      </c>
      <c r="C28" s="61">
        <v>9</v>
      </c>
      <c r="D28" s="62">
        <f>C28*4</f>
        <v>36</v>
      </c>
      <c r="E28" s="63">
        <v>6</v>
      </c>
      <c r="F28" s="49">
        <f>E28*30/6</f>
        <v>30</v>
      </c>
      <c r="G28" s="63">
        <v>7</v>
      </c>
      <c r="H28" s="64">
        <f>G28*30/7</f>
        <v>30</v>
      </c>
      <c r="I28" s="64">
        <f>SUM(D28,H28,F28)</f>
        <v>96</v>
      </c>
      <c r="J28" s="65"/>
      <c r="K28" s="65"/>
      <c r="L28" s="65"/>
      <c r="M28" s="65"/>
      <c r="N28" s="65"/>
      <c r="O28" s="65"/>
      <c r="P28" s="65"/>
    </row>
    <row r="29" ht="12.9" customHeight="1">
      <c r="A29" t="s" s="59">
        <v>76</v>
      </c>
      <c r="B29" t="s" s="60">
        <v>86</v>
      </c>
      <c r="C29" s="61">
        <v>8</v>
      </c>
      <c r="D29" s="62">
        <f>C29*4</f>
        <v>32</v>
      </c>
      <c r="E29" s="63">
        <v>6</v>
      </c>
      <c r="F29" s="49">
        <f>E29*30/6</f>
        <v>30</v>
      </c>
      <c r="G29" s="63">
        <v>7</v>
      </c>
      <c r="H29" s="64">
        <f>G29*30/7</f>
        <v>30</v>
      </c>
      <c r="I29" s="64">
        <f>SUM(D29,H29,F29)</f>
        <v>92</v>
      </c>
      <c r="J29" s="65"/>
      <c r="K29" s="65"/>
      <c r="L29" s="65"/>
      <c r="M29" s="65"/>
      <c r="N29" s="65"/>
      <c r="O29" s="65"/>
      <c r="P29" s="65"/>
    </row>
    <row r="30" ht="12.9" customHeight="1">
      <c r="A30" t="s" s="59">
        <v>88</v>
      </c>
      <c r="B30" t="s" s="60">
        <v>89</v>
      </c>
      <c r="C30" s="61">
        <v>9</v>
      </c>
      <c r="D30" s="62">
        <f>C30*4</f>
        <v>36</v>
      </c>
      <c r="E30" s="63">
        <v>5</v>
      </c>
      <c r="F30" s="49">
        <f>E30*30/6</f>
        <v>25</v>
      </c>
      <c r="G30" s="63">
        <v>6</v>
      </c>
      <c r="H30" s="64">
        <f>G30*30/7</f>
        <v>25.7142857142857</v>
      </c>
      <c r="I30" s="64">
        <f>SUM(D30,H30,F30)</f>
        <v>86.71428571428569</v>
      </c>
      <c r="J30" s="65"/>
      <c r="K30" s="65"/>
      <c r="L30" s="65"/>
      <c r="M30" s="65"/>
      <c r="N30" s="65"/>
      <c r="O30" s="65"/>
      <c r="P30" s="65"/>
    </row>
    <row r="31" ht="12.9" customHeight="1">
      <c r="A31" t="s" s="59">
        <v>91</v>
      </c>
      <c r="B31" t="s" s="60">
        <v>92</v>
      </c>
      <c r="C31" s="61">
        <v>10</v>
      </c>
      <c r="D31" s="62">
        <f>C31*4</f>
        <v>40</v>
      </c>
      <c r="E31" s="63">
        <v>6</v>
      </c>
      <c r="F31" s="49">
        <f>E31*30/6</f>
        <v>30</v>
      </c>
      <c r="G31" s="63">
        <v>7</v>
      </c>
      <c r="H31" s="64">
        <f>G31*30/7</f>
        <v>30</v>
      </c>
      <c r="I31" s="64">
        <f>SUM(D31,H31,F31)</f>
        <v>100</v>
      </c>
      <c r="J31" s="65"/>
      <c r="K31" s="65"/>
      <c r="L31" s="65"/>
      <c r="M31" s="65"/>
      <c r="N31" s="65"/>
      <c r="O31" s="65"/>
      <c r="P31" s="65"/>
    </row>
    <row r="32" ht="12.9" customHeight="1">
      <c r="A32" t="s" s="59">
        <v>28</v>
      </c>
      <c r="B32" t="s" s="60">
        <v>94</v>
      </c>
      <c r="C32" s="61">
        <v>10</v>
      </c>
      <c r="D32" s="62">
        <f>C32*4</f>
        <v>40</v>
      </c>
      <c r="E32" s="63">
        <v>4</v>
      </c>
      <c r="F32" s="49">
        <f>E32*30/6</f>
        <v>20</v>
      </c>
      <c r="G32" s="63">
        <v>6</v>
      </c>
      <c r="H32" s="64">
        <f>G32*30/7</f>
        <v>25.7142857142857</v>
      </c>
      <c r="I32" s="64">
        <f>SUM(D32,H32,F32)</f>
        <v>85.71428571428569</v>
      </c>
      <c r="J32" s="65"/>
      <c r="K32" s="65"/>
      <c r="L32" s="65"/>
      <c r="M32" s="65"/>
      <c r="N32" s="65"/>
      <c r="O32" s="65"/>
      <c r="P32" s="65"/>
    </row>
    <row r="33" ht="12.9" customHeight="1">
      <c r="A33" t="s" s="59">
        <v>96</v>
      </c>
      <c r="B33" t="s" s="60">
        <v>97</v>
      </c>
      <c r="C33" s="61">
        <v>10</v>
      </c>
      <c r="D33" s="62">
        <f>C33*4</f>
        <v>40</v>
      </c>
      <c r="E33" s="63">
        <v>6</v>
      </c>
      <c r="F33" s="49">
        <f>E33*30/6</f>
        <v>30</v>
      </c>
      <c r="G33" s="63">
        <v>7</v>
      </c>
      <c r="H33" s="64">
        <f>G33*30/7</f>
        <v>30</v>
      </c>
      <c r="I33" s="64">
        <f>SUM(D33,H33,F33)</f>
        <v>100</v>
      </c>
      <c r="J33" s="65"/>
      <c r="K33" s="65"/>
      <c r="L33" s="65"/>
      <c r="M33" s="65"/>
      <c r="N33" s="65"/>
      <c r="O33" s="65"/>
      <c r="P33" s="65"/>
    </row>
    <row r="34" ht="12.9" customHeight="1">
      <c r="A34" t="s" s="59">
        <v>88</v>
      </c>
      <c r="B34" t="s" s="60">
        <v>99</v>
      </c>
      <c r="C34" s="61">
        <v>10</v>
      </c>
      <c r="D34" s="62">
        <f>C34*4</f>
        <v>40</v>
      </c>
      <c r="E34" s="63">
        <v>6</v>
      </c>
      <c r="F34" s="49">
        <f>E34*30/6</f>
        <v>30</v>
      </c>
      <c r="G34" s="63">
        <v>7</v>
      </c>
      <c r="H34" s="64">
        <f>G34*30/7</f>
        <v>30</v>
      </c>
      <c r="I34" s="64">
        <f>SUM(D34,H34,F34)</f>
        <v>100</v>
      </c>
      <c r="J34" s="65"/>
      <c r="K34" s="65"/>
      <c r="L34" s="65"/>
      <c r="M34" s="65"/>
      <c r="N34" s="65"/>
      <c r="O34" s="65"/>
      <c r="P34" s="65"/>
    </row>
    <row r="35" ht="12.9" customHeight="1">
      <c r="A35" t="s" s="59">
        <v>101</v>
      </c>
      <c r="B35" t="s" s="60">
        <v>102</v>
      </c>
      <c r="C35" s="66"/>
      <c r="D35" s="62">
        <f>C35*4</f>
        <v>0</v>
      </c>
      <c r="E35" s="65"/>
      <c r="F35" s="49">
        <f>E35*30/6</f>
        <v>0</v>
      </c>
      <c r="G35" s="65"/>
      <c r="H35" s="64">
        <f>G35*30/7</f>
        <v>0</v>
      </c>
      <c r="I35" s="64">
        <f>SUM(D35,H35,F35)</f>
        <v>0</v>
      </c>
      <c r="J35" s="65"/>
      <c r="K35" s="65"/>
      <c r="L35" s="65"/>
      <c r="M35" s="65"/>
      <c r="N35" s="65"/>
      <c r="O35" s="65"/>
      <c r="P35" s="65"/>
    </row>
    <row r="36" ht="12.9" customHeight="1">
      <c r="A36" t="s" s="59">
        <v>104</v>
      </c>
      <c r="B36" t="s" s="60">
        <v>105</v>
      </c>
      <c r="C36" s="61">
        <v>9</v>
      </c>
      <c r="D36" s="62">
        <f>C36*4</f>
        <v>36</v>
      </c>
      <c r="E36" s="63">
        <v>5</v>
      </c>
      <c r="F36" s="49">
        <f>E36*30/6</f>
        <v>25</v>
      </c>
      <c r="G36" s="63">
        <v>6</v>
      </c>
      <c r="H36" s="64">
        <f>G36*30/7</f>
        <v>25.7142857142857</v>
      </c>
      <c r="I36" s="64">
        <f>SUM(D36,H36,F36)</f>
        <v>86.71428571428569</v>
      </c>
      <c r="J36" s="65"/>
      <c r="K36" s="63">
        <f>J36/2</f>
        <v>0</v>
      </c>
      <c r="L36" s="63">
        <f>I36+K36</f>
        <v>86.71428571428569</v>
      </c>
      <c r="M36" s="68"/>
      <c r="N36" s="68"/>
      <c r="O36" s="69"/>
      <c r="P36" s="65"/>
    </row>
    <row r="37" ht="12.9" customHeight="1">
      <c r="A37" t="s" s="59">
        <v>83</v>
      </c>
      <c r="B37" t="s" s="60">
        <v>107</v>
      </c>
      <c r="C37" s="66"/>
      <c r="D37" s="62">
        <f>C37*4</f>
        <v>0</v>
      </c>
      <c r="E37" s="65"/>
      <c r="F37" s="49">
        <f>E37*30/6</f>
        <v>0</v>
      </c>
      <c r="G37" s="65"/>
      <c r="H37" s="64">
        <f>G37*30/7</f>
        <v>0</v>
      </c>
      <c r="I37" s="64">
        <f>SUM(D37,H37,F37)</f>
        <v>0</v>
      </c>
      <c r="J37" s="65"/>
      <c r="K37" s="65"/>
      <c r="L37" s="65"/>
      <c r="M37" s="68"/>
      <c r="N37" s="68"/>
      <c r="O37" s="68"/>
      <c r="P37" s="65"/>
    </row>
    <row r="38" ht="12.9" customHeight="1">
      <c r="A38" t="s" s="59">
        <v>109</v>
      </c>
      <c r="B38" t="s" s="60">
        <v>110</v>
      </c>
      <c r="C38" s="61">
        <v>7</v>
      </c>
      <c r="D38" s="62">
        <f>C38*4</f>
        <v>28</v>
      </c>
      <c r="E38" s="63">
        <v>6</v>
      </c>
      <c r="F38" s="49">
        <f>E38*30/6</f>
        <v>30</v>
      </c>
      <c r="G38" s="63">
        <v>7</v>
      </c>
      <c r="H38" s="64">
        <f>G38*30/7</f>
        <v>30</v>
      </c>
      <c r="I38" s="64">
        <f>SUM(D38,H38,F38)</f>
        <v>88</v>
      </c>
      <c r="J38" s="65"/>
      <c r="K38" s="65"/>
      <c r="L38" s="65"/>
      <c r="M38" s="68"/>
      <c r="N38" s="68"/>
      <c r="O38" s="68"/>
      <c r="P38" s="65"/>
    </row>
    <row r="39" ht="12.9" customHeight="1">
      <c r="A39" t="s" s="59">
        <v>70</v>
      </c>
      <c r="B39" t="s" s="60">
        <v>112</v>
      </c>
      <c r="C39" s="61">
        <v>0</v>
      </c>
      <c r="D39" s="62">
        <f>C39*4</f>
        <v>0</v>
      </c>
      <c r="E39" s="63">
        <v>3</v>
      </c>
      <c r="F39" s="49">
        <f>E39*30/6</f>
        <v>15</v>
      </c>
      <c r="G39" s="63">
        <v>7</v>
      </c>
      <c r="H39" s="64">
        <f>G39*30/7</f>
        <v>30</v>
      </c>
      <c r="I39" s="64">
        <f>SUM(D39,H39,F39)</f>
        <v>45</v>
      </c>
      <c r="J39" t="s" s="67">
        <v>143</v>
      </c>
      <c r="K39" s="65"/>
      <c r="L39" s="65"/>
      <c r="M39" s="68"/>
      <c r="N39" s="68"/>
      <c r="O39" s="68"/>
      <c r="P39" s="65"/>
    </row>
    <row r="40" ht="12.9" customHeight="1">
      <c r="A40" t="s" s="59">
        <v>40</v>
      </c>
      <c r="B40" t="s" s="60">
        <v>114</v>
      </c>
      <c r="C40" s="61">
        <v>9</v>
      </c>
      <c r="D40" s="62">
        <f>C40*4</f>
        <v>36</v>
      </c>
      <c r="E40" s="63">
        <v>5</v>
      </c>
      <c r="F40" s="49">
        <f>E40*30/6</f>
        <v>25</v>
      </c>
      <c r="G40" s="63">
        <v>7</v>
      </c>
      <c r="H40" s="64">
        <f>G40*30/7</f>
        <v>30</v>
      </c>
      <c r="I40" s="64">
        <f>SUM(D40,H40,F40)</f>
        <v>91</v>
      </c>
      <c r="J40" s="65"/>
      <c r="K40" s="65"/>
      <c r="L40" s="65"/>
      <c r="M40" s="68"/>
      <c r="N40" s="68"/>
      <c r="O40" s="68"/>
      <c r="P40" s="65"/>
    </row>
    <row r="41" ht="12.9" customHeight="1">
      <c r="A41" t="s" s="59">
        <v>116</v>
      </c>
      <c r="B41" t="s" s="60">
        <v>117</v>
      </c>
      <c r="C41" s="61">
        <v>10</v>
      </c>
      <c r="D41" s="62">
        <f>C41*4</f>
        <v>40</v>
      </c>
      <c r="E41" s="63">
        <v>6</v>
      </c>
      <c r="F41" s="49">
        <f>E41*30/6</f>
        <v>30</v>
      </c>
      <c r="G41" s="63">
        <v>7</v>
      </c>
      <c r="H41" s="64">
        <f>G41*30/7</f>
        <v>30</v>
      </c>
      <c r="I41" s="64">
        <f>SUM(D41,H41,F41)</f>
        <v>100</v>
      </c>
      <c r="J41" s="65"/>
      <c r="K41" s="65"/>
      <c r="L41" s="65"/>
      <c r="M41" s="68"/>
      <c r="N41" s="68"/>
      <c r="O41" s="68"/>
      <c r="P41" s="65"/>
    </row>
    <row r="42" ht="16.7" customHeight="1">
      <c r="A42" t="s" s="70">
        <v>119</v>
      </c>
      <c r="B42" t="s" s="71">
        <v>120</v>
      </c>
      <c r="C42" s="72">
        <v>7</v>
      </c>
      <c r="D42" s="62">
        <f>C42*4</f>
        <v>28</v>
      </c>
      <c r="E42" s="63">
        <v>6</v>
      </c>
      <c r="F42" s="49">
        <f>E42*30/6</f>
        <v>30</v>
      </c>
      <c r="G42" s="63">
        <v>5</v>
      </c>
      <c r="H42" s="64">
        <f>G42*30/7</f>
        <v>21.4285714285714</v>
      </c>
      <c r="I42" s="64">
        <f>SUM(D42,H42,F42)</f>
        <v>79.4285714285714</v>
      </c>
      <c r="J42" s="65"/>
      <c r="K42" s="65"/>
      <c r="L42" s="65"/>
      <c r="M42" s="68"/>
      <c r="N42" s="68"/>
      <c r="O42" s="68"/>
      <c r="P42" s="65"/>
    </row>
    <row r="43" ht="16.7" customHeight="1">
      <c r="A43" t="s" s="70">
        <v>121</v>
      </c>
      <c r="B43" t="s" s="71">
        <v>122</v>
      </c>
      <c r="C43" s="72">
        <v>10</v>
      </c>
      <c r="D43" s="62">
        <f>C43*4</f>
        <v>40</v>
      </c>
      <c r="E43" s="63">
        <v>6</v>
      </c>
      <c r="F43" s="49">
        <f>E43*30/6</f>
        <v>30</v>
      </c>
      <c r="G43" s="63">
        <v>7</v>
      </c>
      <c r="H43" s="64">
        <f>G43*30/7</f>
        <v>30</v>
      </c>
      <c r="I43" s="64">
        <f>SUM(D43,H43,F43)</f>
        <v>100</v>
      </c>
      <c r="J43" s="65"/>
      <c r="K43" s="65"/>
      <c r="L43" s="65"/>
      <c r="M43" s="68"/>
      <c r="N43" s="68"/>
      <c r="O43" s="68"/>
      <c r="P43" s="65"/>
    </row>
    <row r="44" ht="16.7" customHeight="1">
      <c r="A44" t="s" s="73">
        <v>123</v>
      </c>
      <c r="B44" t="s" s="74">
        <v>124</v>
      </c>
      <c r="C44" s="72">
        <v>10</v>
      </c>
      <c r="D44" s="62">
        <f>C44*4</f>
        <v>40</v>
      </c>
      <c r="E44" s="63">
        <v>6</v>
      </c>
      <c r="F44" s="49">
        <f>E44*30/6</f>
        <v>30</v>
      </c>
      <c r="G44" s="63">
        <v>7</v>
      </c>
      <c r="H44" s="64">
        <f>G44*30/7</f>
        <v>30</v>
      </c>
      <c r="I44" s="64">
        <f>SUM(D44,H44,F44)</f>
        <v>100</v>
      </c>
      <c r="J44" s="65"/>
      <c r="K44" s="65"/>
      <c r="L44" s="65"/>
      <c r="M44" s="68"/>
      <c r="N44" s="68"/>
      <c r="O44" s="68"/>
      <c r="P44" s="65"/>
    </row>
    <row r="45" ht="16.7" customHeight="1">
      <c r="A45" t="s" s="70">
        <v>125</v>
      </c>
      <c r="B45" t="s" s="71">
        <v>126</v>
      </c>
      <c r="C45" s="72">
        <v>10</v>
      </c>
      <c r="D45" s="62">
        <f>C45*4</f>
        <v>40</v>
      </c>
      <c r="E45" s="63">
        <v>6</v>
      </c>
      <c r="F45" s="49">
        <f>E45*30/6</f>
        <v>30</v>
      </c>
      <c r="G45" s="63">
        <v>7</v>
      </c>
      <c r="H45" s="64">
        <f>G45*30/7</f>
        <v>30</v>
      </c>
      <c r="I45" s="64">
        <f>SUM(D45,H45,F45)</f>
        <v>100</v>
      </c>
      <c r="J45" s="65"/>
      <c r="K45" s="65"/>
      <c r="L45" s="65"/>
      <c r="M45" s="68"/>
      <c r="N45" s="68"/>
      <c r="O45" s="68"/>
      <c r="P45" s="65"/>
    </row>
    <row r="46" ht="16.7" customHeight="1">
      <c r="A46" t="s" s="70">
        <v>127</v>
      </c>
      <c r="B46" t="s" s="71">
        <v>128</v>
      </c>
      <c r="C46" s="72">
        <v>10</v>
      </c>
      <c r="D46" s="62">
        <f>C46*4</f>
        <v>40</v>
      </c>
      <c r="E46" s="63">
        <v>6</v>
      </c>
      <c r="F46" s="49">
        <f>E46*30/6</f>
        <v>30</v>
      </c>
      <c r="G46" s="63">
        <v>7</v>
      </c>
      <c r="H46" s="64">
        <f>G46*30/7</f>
        <v>30</v>
      </c>
      <c r="I46" s="64">
        <f>SUM(D46,H46,F46)</f>
        <v>100</v>
      </c>
      <c r="J46" s="65"/>
      <c r="K46" s="65"/>
      <c r="L46" s="65"/>
      <c r="M46" s="68"/>
      <c r="N46" s="68"/>
      <c r="O46" s="68"/>
      <c r="P46" s="65"/>
    </row>
  </sheetData>
  <mergeCells count="4">
    <mergeCell ref="A1:P1"/>
    <mergeCell ref="C2:D2"/>
    <mergeCell ref="G2:H2"/>
    <mergeCell ref="E2:F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I42"/>
  <sheetViews>
    <sheetView workbookViewId="0" showGridLines="0" defaultGridColor="1">
      <pane topLeftCell="B3" xSplit="1" ySplit="2" activePane="bottomRight" state="frozen"/>
    </sheetView>
  </sheetViews>
  <sheetFormatPr defaultColWidth="16.3333" defaultRowHeight="15.4" customHeight="1" outlineLevelRow="0" outlineLevelCol="0"/>
  <cols>
    <col min="1" max="1" width="14.7656" style="75" customWidth="1"/>
    <col min="2" max="2" width="10.4375" style="75" customWidth="1"/>
    <col min="3" max="8" width="16.3516" style="75" customWidth="1"/>
    <col min="9" max="9" width="46.4688" style="75" customWidth="1"/>
    <col min="10" max="16384" width="16.3516" style="75" customWidth="1"/>
  </cols>
  <sheetData>
    <row r="1" ht="15.55" customHeight="1">
      <c r="A1" t="s" s="7">
        <v>145</v>
      </c>
      <c r="B1" s="7"/>
      <c r="C1" s="7"/>
      <c r="D1" s="7"/>
      <c r="E1" s="7"/>
      <c r="F1" s="7"/>
      <c r="G1" s="7"/>
      <c r="H1" s="7"/>
      <c r="I1" s="7"/>
    </row>
    <row r="2" ht="13.2" customHeight="1">
      <c r="A2" s="50"/>
      <c r="B2" s="51"/>
      <c r="C2" s="51"/>
      <c r="D2" s="51"/>
      <c r="E2" s="51"/>
      <c r="F2" s="51"/>
      <c r="G2" s="51"/>
      <c r="H2" s="51"/>
      <c r="I2" s="51"/>
    </row>
    <row r="3" ht="13.2" customHeight="1">
      <c r="A3" s="76"/>
      <c r="B3" s="56"/>
      <c r="C3" s="57"/>
      <c r="D3" s="57"/>
      <c r="E3" s="57"/>
      <c r="F3" t="s" s="77">
        <v>147</v>
      </c>
      <c r="G3" s="57"/>
      <c r="H3" s="57"/>
      <c r="I3" s="57"/>
    </row>
    <row r="4" ht="64.9" customHeight="1">
      <c r="A4" s="78"/>
      <c r="B4" s="66"/>
      <c r="C4" t="s" s="67">
        <v>148</v>
      </c>
      <c r="D4" t="s" s="67">
        <v>149</v>
      </c>
      <c r="E4" t="s" s="67">
        <v>150</v>
      </c>
      <c r="F4" t="s" s="79">
        <v>151</v>
      </c>
      <c r="G4" t="s" s="79">
        <v>152</v>
      </c>
      <c r="H4" t="s" s="67">
        <v>135</v>
      </c>
      <c r="I4" t="s" s="67">
        <v>153</v>
      </c>
    </row>
    <row r="5" ht="13" customHeight="1">
      <c r="A5" t="s" s="78">
        <v>141</v>
      </c>
      <c r="B5" t="s" s="80">
        <v>142</v>
      </c>
      <c r="C5" s="65"/>
      <c r="D5" s="65"/>
      <c r="E5" s="65"/>
      <c r="F5" s="65"/>
      <c r="G5" s="65"/>
      <c r="H5" s="65"/>
      <c r="I5" s="65"/>
    </row>
    <row r="6" ht="12.9" customHeight="1">
      <c r="A6" s="81"/>
      <c r="B6" s="66"/>
      <c r="C6" s="65"/>
      <c r="D6" s="65"/>
      <c r="E6" s="65"/>
      <c r="F6" s="65"/>
      <c r="G6" s="65"/>
      <c r="H6" s="63">
        <f>SUM(C6:F6)</f>
        <v>0</v>
      </c>
      <c r="I6" s="65"/>
    </row>
    <row r="7" ht="12.9" customHeight="1">
      <c r="A7" t="s" s="60">
        <v>18</v>
      </c>
      <c r="B7" t="s" s="82">
        <v>19</v>
      </c>
      <c r="C7" s="63">
        <v>2</v>
      </c>
      <c r="D7" s="65"/>
      <c r="E7" s="65"/>
      <c r="F7" s="65"/>
      <c r="G7" s="65"/>
      <c r="H7" s="63">
        <f>SUM(C7:F7)</f>
        <v>2</v>
      </c>
      <c r="I7" s="65"/>
    </row>
    <row r="8" ht="12.9" customHeight="1">
      <c r="A8" t="s" s="60">
        <v>22</v>
      </c>
      <c r="B8" t="s" s="82">
        <v>23</v>
      </c>
      <c r="C8" s="65"/>
      <c r="D8" s="65"/>
      <c r="E8" s="65"/>
      <c r="F8" s="65"/>
      <c r="G8" s="65"/>
      <c r="H8" s="63">
        <v>80</v>
      </c>
      <c r="I8" s="65"/>
    </row>
    <row r="9" ht="12.9" customHeight="1">
      <c r="A9" t="s" s="60">
        <v>25</v>
      </c>
      <c r="B9" t="s" s="82">
        <v>26</v>
      </c>
      <c r="C9" s="65"/>
      <c r="D9" s="65"/>
      <c r="E9" s="65"/>
      <c r="F9" s="65"/>
      <c r="G9" s="65"/>
      <c r="H9" s="63">
        <f>SUM(C9:F9)</f>
        <v>0</v>
      </c>
      <c r="I9" s="65"/>
    </row>
    <row r="10" ht="12.9" customHeight="1">
      <c r="A10" t="s" s="60">
        <v>28</v>
      </c>
      <c r="B10" t="s" s="82">
        <v>29</v>
      </c>
      <c r="C10" s="65"/>
      <c r="D10" s="65"/>
      <c r="E10" s="65"/>
      <c r="F10" s="65"/>
      <c r="G10" s="65"/>
      <c r="H10" s="63">
        <f>SUM(C10:F10)</f>
        <v>0</v>
      </c>
      <c r="I10" s="65"/>
    </row>
    <row r="11" ht="12.9" customHeight="1">
      <c r="A11" t="s" s="60">
        <v>31</v>
      </c>
      <c r="B11" t="s" s="82">
        <v>32</v>
      </c>
      <c r="C11" s="65"/>
      <c r="D11" s="65"/>
      <c r="E11" s="65"/>
      <c r="F11" s="65"/>
      <c r="G11" s="65"/>
      <c r="H11" s="63">
        <f>SUM(C11:F11)</f>
        <v>0</v>
      </c>
      <c r="I11" s="65"/>
    </row>
    <row r="12" ht="12.9" customHeight="1">
      <c r="A12" t="s" s="60">
        <v>34</v>
      </c>
      <c r="B12" t="s" s="82">
        <v>35</v>
      </c>
      <c r="C12" s="65"/>
      <c r="D12" s="65"/>
      <c r="E12" s="65"/>
      <c r="F12" s="65"/>
      <c r="G12" s="65"/>
      <c r="H12" s="63">
        <f>SUM(C12:F12)</f>
        <v>0</v>
      </c>
      <c r="I12" s="65"/>
    </row>
    <row r="13" ht="12.9" customHeight="1">
      <c r="A13" t="s" s="60">
        <v>37</v>
      </c>
      <c r="B13" t="s" s="82">
        <v>38</v>
      </c>
      <c r="C13" s="65"/>
      <c r="D13" s="65"/>
      <c r="E13" s="65"/>
      <c r="F13" s="65"/>
      <c r="G13" s="65"/>
      <c r="H13" s="63">
        <f>SUM(C13:F13)</f>
        <v>0</v>
      </c>
      <c r="I13" s="65"/>
    </row>
    <row r="14" ht="12.9" customHeight="1">
      <c r="A14" t="s" s="60">
        <v>40</v>
      </c>
      <c r="B14" t="s" s="82">
        <v>41</v>
      </c>
      <c r="C14" s="65"/>
      <c r="D14" s="65"/>
      <c r="E14" s="65"/>
      <c r="F14" s="65"/>
      <c r="G14" s="65"/>
      <c r="H14" s="63">
        <f>SUM(C14:F14)</f>
        <v>0</v>
      </c>
      <c r="I14" s="65"/>
    </row>
    <row r="15" ht="12.9" customHeight="1">
      <c r="A15" t="s" s="60">
        <v>43</v>
      </c>
      <c r="B15" t="s" s="82">
        <v>44</v>
      </c>
      <c r="C15" s="65"/>
      <c r="D15" s="65"/>
      <c r="E15" s="65"/>
      <c r="F15" s="65"/>
      <c r="G15" s="65"/>
      <c r="H15" s="63">
        <v>80</v>
      </c>
      <c r="I15" s="65"/>
    </row>
    <row r="16" ht="12.9" customHeight="1">
      <c r="A16" t="s" s="60">
        <v>47</v>
      </c>
      <c r="B16" t="s" s="82">
        <v>48</v>
      </c>
      <c r="C16" s="65"/>
      <c r="D16" s="65"/>
      <c r="E16" s="65"/>
      <c r="F16" s="65"/>
      <c r="G16" s="65"/>
      <c r="H16" s="63">
        <f>SUM(C16:F16)</f>
        <v>0</v>
      </c>
      <c r="I16" s="65"/>
    </row>
    <row r="17" ht="12.9" customHeight="1">
      <c r="A17" t="s" s="60">
        <v>50</v>
      </c>
      <c r="B17" t="s" s="82">
        <v>51</v>
      </c>
      <c r="C17" s="65"/>
      <c r="D17" s="65"/>
      <c r="E17" s="65"/>
      <c r="F17" s="65"/>
      <c r="G17" s="65"/>
      <c r="H17" s="63">
        <f>SUM(C17:F17)</f>
        <v>0</v>
      </c>
      <c r="I17" s="65"/>
    </row>
    <row r="18" ht="12.9" customHeight="1">
      <c r="A18" t="s" s="60">
        <v>37</v>
      </c>
      <c r="B18" t="s" s="82">
        <v>51</v>
      </c>
      <c r="C18" s="65"/>
      <c r="D18" s="65"/>
      <c r="E18" s="65"/>
      <c r="F18" s="65"/>
      <c r="G18" s="65"/>
      <c r="H18" s="63">
        <f>SUM(C18:F18)</f>
        <v>0</v>
      </c>
      <c r="I18" s="65"/>
    </row>
    <row r="19" ht="12.9" customHeight="1">
      <c r="A19" t="s" s="60">
        <v>54</v>
      </c>
      <c r="B19" t="s" s="82">
        <v>55</v>
      </c>
      <c r="C19" s="65"/>
      <c r="D19" s="65"/>
      <c r="E19" s="65"/>
      <c r="F19" s="65"/>
      <c r="G19" s="65"/>
      <c r="H19" s="63">
        <f>SUM(C19:F19)</f>
        <v>0</v>
      </c>
      <c r="I19" s="65"/>
    </row>
    <row r="20" ht="12.9" customHeight="1">
      <c r="A20" t="s" s="60">
        <v>57</v>
      </c>
      <c r="B20" t="s" s="82">
        <v>58</v>
      </c>
      <c r="C20" s="65"/>
      <c r="D20" s="65"/>
      <c r="E20" s="65"/>
      <c r="F20" s="65"/>
      <c r="G20" s="65"/>
      <c r="H20" s="63">
        <f>SUM(C20:F20)</f>
        <v>0</v>
      </c>
      <c r="I20" s="65"/>
    </row>
    <row r="21" ht="12.9" customHeight="1">
      <c r="A21" t="s" s="60">
        <v>61</v>
      </c>
      <c r="B21" t="s" s="82">
        <v>62</v>
      </c>
      <c r="C21" s="65"/>
      <c r="D21" s="65"/>
      <c r="E21" s="65"/>
      <c r="F21" s="65"/>
      <c r="G21" s="65"/>
      <c r="H21" s="63">
        <f>SUM(C21:F21)</f>
        <v>0</v>
      </c>
      <c r="I21" s="65"/>
    </row>
    <row r="22" ht="12.9" customHeight="1">
      <c r="A22" t="s" s="60">
        <v>64</v>
      </c>
      <c r="B22" t="s" s="82">
        <v>65</v>
      </c>
      <c r="C22" s="65"/>
      <c r="D22" s="65"/>
      <c r="E22" s="65"/>
      <c r="F22" s="65"/>
      <c r="G22" s="65"/>
      <c r="H22" s="63">
        <f>SUM(C22:F22)</f>
        <v>0</v>
      </c>
      <c r="I22" s="65"/>
    </row>
    <row r="23" ht="12.9" customHeight="1">
      <c r="A23" t="s" s="60">
        <v>67</v>
      </c>
      <c r="B23" t="s" s="82">
        <v>68</v>
      </c>
      <c r="C23" s="65"/>
      <c r="D23" s="65"/>
      <c r="E23" s="65"/>
      <c r="F23" s="65"/>
      <c r="G23" s="65"/>
      <c r="H23" s="63">
        <f>SUM(C23:F23)</f>
        <v>0</v>
      </c>
      <c r="I23" s="65"/>
    </row>
    <row r="24" ht="12.9" customHeight="1">
      <c r="A24" t="s" s="60">
        <v>70</v>
      </c>
      <c r="B24" t="s" s="82">
        <v>71</v>
      </c>
      <c r="C24" s="65"/>
      <c r="D24" s="65"/>
      <c r="E24" s="65"/>
      <c r="F24" s="65"/>
      <c r="G24" s="65"/>
      <c r="H24" s="63">
        <f>SUM(C24:F24)</f>
        <v>0</v>
      </c>
      <c r="I24" s="65"/>
    </row>
    <row r="25" ht="12.9" customHeight="1">
      <c r="A25" t="s" s="60">
        <v>73</v>
      </c>
      <c r="B25" t="s" s="82">
        <v>74</v>
      </c>
      <c r="C25" s="65"/>
      <c r="D25" s="65"/>
      <c r="E25" s="65"/>
      <c r="F25" s="65"/>
      <c r="G25" s="65"/>
      <c r="H25" s="63">
        <f>SUM(C25:F25)</f>
        <v>0</v>
      </c>
      <c r="I25" s="65"/>
    </row>
    <row r="26" ht="12.9" customHeight="1">
      <c r="A26" t="s" s="60">
        <v>76</v>
      </c>
      <c r="B26" t="s" s="82">
        <v>77</v>
      </c>
      <c r="C26" s="65"/>
      <c r="D26" s="65"/>
      <c r="E26" s="65"/>
      <c r="F26" s="65"/>
      <c r="G26" s="65"/>
      <c r="H26" s="63">
        <f>SUM(C26:F26)</f>
        <v>0</v>
      </c>
      <c r="I26" s="65"/>
    </row>
    <row r="27" ht="12.9" customHeight="1">
      <c r="A27" t="s" s="60">
        <v>79</v>
      </c>
      <c r="B27" t="s" s="82">
        <v>80</v>
      </c>
      <c r="C27" s="65"/>
      <c r="D27" s="65"/>
      <c r="E27" s="65"/>
      <c r="F27" s="65"/>
      <c r="G27" s="65"/>
      <c r="H27" s="63">
        <f>SUM(C27:F27)</f>
        <v>0</v>
      </c>
      <c r="I27" s="65"/>
    </row>
    <row r="28" ht="12.9" customHeight="1">
      <c r="A28" t="s" s="60">
        <v>83</v>
      </c>
      <c r="B28" t="s" s="82">
        <v>84</v>
      </c>
      <c r="C28" s="65"/>
      <c r="D28" s="65"/>
      <c r="E28" s="65"/>
      <c r="F28" s="65"/>
      <c r="G28" s="65"/>
      <c r="H28" s="63">
        <f>SUM(C28:F28)</f>
        <v>0</v>
      </c>
      <c r="I28" s="65"/>
    </row>
    <row r="29" ht="12.9" customHeight="1">
      <c r="A29" t="s" s="60">
        <v>76</v>
      </c>
      <c r="B29" t="s" s="82">
        <v>86</v>
      </c>
      <c r="C29" s="65"/>
      <c r="D29" s="65"/>
      <c r="E29" s="65"/>
      <c r="F29" s="65"/>
      <c r="G29" s="65"/>
      <c r="H29" s="63">
        <f>SUM(C29:F29)</f>
        <v>0</v>
      </c>
      <c r="I29" s="65"/>
    </row>
    <row r="30" ht="12.9" customHeight="1">
      <c r="A30" t="s" s="60">
        <v>88</v>
      </c>
      <c r="B30" t="s" s="82">
        <v>89</v>
      </c>
      <c r="C30" s="65"/>
      <c r="D30" s="65"/>
      <c r="E30" s="65"/>
      <c r="F30" s="65"/>
      <c r="G30" s="65"/>
      <c r="H30" s="63">
        <f>SUM(C30:F30)</f>
        <v>0</v>
      </c>
      <c r="I30" s="65"/>
    </row>
    <row r="31" ht="12.9" customHeight="1">
      <c r="A31" t="s" s="60">
        <v>91</v>
      </c>
      <c r="B31" t="s" s="82">
        <v>92</v>
      </c>
      <c r="C31" s="65"/>
      <c r="D31" s="65"/>
      <c r="E31" s="65"/>
      <c r="F31" s="65"/>
      <c r="G31" s="65"/>
      <c r="H31" s="63">
        <f>SUM(C31:F31)</f>
        <v>0</v>
      </c>
      <c r="I31" s="65"/>
    </row>
    <row r="32" ht="12.9" customHeight="1">
      <c r="A32" t="s" s="60">
        <v>28</v>
      </c>
      <c r="B32" t="s" s="82">
        <v>94</v>
      </c>
      <c r="C32" s="65"/>
      <c r="D32" s="65"/>
      <c r="E32" s="65"/>
      <c r="F32" s="65"/>
      <c r="G32" s="65"/>
      <c r="H32" s="63">
        <f>SUM(C32:F32)</f>
        <v>0</v>
      </c>
      <c r="I32" s="65"/>
    </row>
    <row r="33" ht="12.9" customHeight="1">
      <c r="A33" t="s" s="60">
        <v>96</v>
      </c>
      <c r="B33" t="s" s="82">
        <v>97</v>
      </c>
      <c r="C33" s="65"/>
      <c r="D33" s="65"/>
      <c r="E33" s="65"/>
      <c r="F33" s="65"/>
      <c r="G33" s="65"/>
      <c r="H33" s="63">
        <f>SUM(C33:F33)</f>
        <v>0</v>
      </c>
      <c r="I33" s="65"/>
    </row>
    <row r="34" ht="12.9" customHeight="1">
      <c r="A34" t="s" s="60">
        <v>88</v>
      </c>
      <c r="B34" t="s" s="82">
        <v>99</v>
      </c>
      <c r="C34" s="65"/>
      <c r="D34" s="65"/>
      <c r="E34" s="65"/>
      <c r="F34" s="65"/>
      <c r="G34" s="65"/>
      <c r="H34" s="63">
        <f>SUM(C34:F34)</f>
        <v>0</v>
      </c>
      <c r="I34" s="65"/>
    </row>
    <row r="35" ht="12.9" customHeight="1">
      <c r="A35" t="s" s="60">
        <v>101</v>
      </c>
      <c r="B35" t="s" s="82">
        <v>102</v>
      </c>
      <c r="C35" s="65"/>
      <c r="D35" s="65"/>
      <c r="E35" s="65"/>
      <c r="F35" s="65"/>
      <c r="G35" s="65"/>
      <c r="H35" s="63">
        <f>SUM(C35:F35)</f>
        <v>0</v>
      </c>
      <c r="I35" s="65"/>
    </row>
    <row r="36" ht="12.9" customHeight="1">
      <c r="A36" t="s" s="60">
        <v>104</v>
      </c>
      <c r="B36" t="s" s="82">
        <v>105</v>
      </c>
      <c r="C36" s="65"/>
      <c r="D36" s="65"/>
      <c r="E36" s="65"/>
      <c r="F36" s="65"/>
      <c r="G36" s="65"/>
      <c r="H36" s="63">
        <f>SUM(C36:F36)</f>
        <v>0</v>
      </c>
      <c r="I36" s="65"/>
    </row>
    <row r="37" ht="12.9" customHeight="1">
      <c r="A37" t="s" s="60">
        <v>83</v>
      </c>
      <c r="B37" t="s" s="82">
        <v>107</v>
      </c>
      <c r="C37" s="65"/>
      <c r="D37" s="65"/>
      <c r="E37" s="65"/>
      <c r="F37" s="65"/>
      <c r="G37" s="65"/>
      <c r="H37" s="63">
        <f>SUM(C37:F37)</f>
        <v>0</v>
      </c>
      <c r="I37" s="65"/>
    </row>
    <row r="38" ht="12.9" customHeight="1">
      <c r="A38" t="s" s="60">
        <v>109</v>
      </c>
      <c r="B38" t="s" s="82">
        <v>110</v>
      </c>
      <c r="C38" s="65"/>
      <c r="D38" s="65"/>
      <c r="E38" s="65"/>
      <c r="F38" s="65"/>
      <c r="G38" s="65"/>
      <c r="H38" s="63">
        <f>SUM(C38:F38)</f>
        <v>0</v>
      </c>
      <c r="I38" s="65"/>
    </row>
    <row r="39" ht="12.9" customHeight="1">
      <c r="A39" t="s" s="60">
        <v>70</v>
      </c>
      <c r="B39" t="s" s="82">
        <v>112</v>
      </c>
      <c r="C39" s="65"/>
      <c r="D39" s="65"/>
      <c r="E39" s="65"/>
      <c r="F39" s="65"/>
      <c r="G39" s="65"/>
      <c r="H39" s="63">
        <f>SUM(C39:F39)</f>
        <v>0</v>
      </c>
      <c r="I39" s="65"/>
    </row>
    <row r="40" ht="12.9" customHeight="1">
      <c r="A40" t="s" s="60">
        <v>40</v>
      </c>
      <c r="B40" t="s" s="82">
        <v>114</v>
      </c>
      <c r="C40" s="65"/>
      <c r="D40" s="65"/>
      <c r="E40" s="65"/>
      <c r="F40" s="65"/>
      <c r="G40" s="65"/>
      <c r="H40" s="63">
        <f>SUM(C40:F40)</f>
        <v>0</v>
      </c>
      <c r="I40" s="65"/>
    </row>
    <row r="41" ht="12.9" customHeight="1">
      <c r="A41" t="s" s="60">
        <v>116</v>
      </c>
      <c r="B41" t="s" s="82">
        <v>117</v>
      </c>
      <c r="C41" s="65"/>
      <c r="D41" s="65"/>
      <c r="E41" s="65"/>
      <c r="F41" s="65"/>
      <c r="G41" s="65"/>
      <c r="H41" s="63">
        <f>SUM(C41:F41)</f>
        <v>0</v>
      </c>
      <c r="I41" s="65"/>
    </row>
    <row r="42" ht="14" customHeight="1">
      <c r="A42" t="s" s="71">
        <v>119</v>
      </c>
      <c r="B42" t="s" s="83">
        <v>120</v>
      </c>
      <c r="C42" s="65"/>
      <c r="D42" s="65"/>
      <c r="E42" s="65"/>
      <c r="F42" s="65"/>
      <c r="G42" s="65"/>
      <c r="H42" s="63">
        <f>SUM(C42:F42)</f>
        <v>0</v>
      </c>
      <c r="I42" s="65"/>
    </row>
  </sheetData>
  <mergeCells count="1">
    <mergeCell ref="A1:I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D43"/>
  <sheetViews>
    <sheetView workbookViewId="0" showGridLines="0" defaultGridColor="1">
      <pane topLeftCell="C5" xSplit="2" ySplit="4" activePane="bottomRight" state="frozen"/>
    </sheetView>
  </sheetViews>
  <sheetFormatPr defaultColWidth="16.3333" defaultRowHeight="15.4" customHeight="1" outlineLevelRow="0" outlineLevelCol="0"/>
  <cols>
    <col min="1" max="1" width="13.5" style="84" customWidth="1"/>
    <col min="2" max="2" width="23.5469" style="84" customWidth="1"/>
    <col min="3" max="4" width="58.0547" style="84" customWidth="1"/>
    <col min="5" max="16384" width="16.3516" style="84" customWidth="1"/>
  </cols>
  <sheetData>
    <row r="1" ht="15.55" customHeight="1">
      <c r="A1" t="s" s="7">
        <v>155</v>
      </c>
      <c r="B1" s="7"/>
      <c r="C1" s="7"/>
      <c r="D1" s="7"/>
    </row>
    <row r="2" ht="13" customHeight="1">
      <c r="A2" s="41"/>
      <c r="B2" s="42"/>
      <c r="C2" t="s" s="85">
        <v>157</v>
      </c>
      <c r="D2" s="86"/>
    </row>
    <row r="3" ht="13" customHeight="1">
      <c r="A3" s="41"/>
      <c r="B3" s="42"/>
      <c r="C3" t="s" s="87">
        <v>158</v>
      </c>
      <c r="D3" s="88"/>
    </row>
    <row r="4" ht="13.2" customHeight="1">
      <c r="A4" s="50"/>
      <c r="B4" s="51"/>
      <c r="C4" s="51"/>
      <c r="D4" s="51"/>
    </row>
    <row r="5" ht="13.2" customHeight="1">
      <c r="A5" t="s" s="89">
        <v>141</v>
      </c>
      <c r="B5" t="s" s="76">
        <v>142</v>
      </c>
      <c r="C5" s="56"/>
      <c r="D5" s="57"/>
    </row>
    <row r="6" ht="12.9" customHeight="1">
      <c r="A6" s="90"/>
      <c r="B6" s="81"/>
      <c r="C6" s="66"/>
      <c r="D6" s="63">
        <f>1</f>
        <v>1</v>
      </c>
    </row>
    <row r="7" ht="12.9" customHeight="1">
      <c r="A7" t="s" s="59">
        <v>18</v>
      </c>
      <c r="B7" t="s" s="60">
        <v>19</v>
      </c>
      <c r="C7" s="66"/>
      <c r="D7" s="63">
        <f>D6+1+D$4</f>
        <v>2</v>
      </c>
    </row>
    <row r="8" ht="12.9" customHeight="1">
      <c r="A8" t="s" s="59">
        <v>22</v>
      </c>
      <c r="B8" t="s" s="60">
        <v>23</v>
      </c>
      <c r="C8" s="66"/>
      <c r="D8" s="63">
        <f>D7+1+D$4</f>
        <v>3</v>
      </c>
    </row>
    <row r="9" ht="12.9" customHeight="1">
      <c r="A9" t="s" s="59">
        <v>25</v>
      </c>
      <c r="B9" t="s" s="60">
        <v>26</v>
      </c>
      <c r="C9" s="66"/>
      <c r="D9" s="63">
        <f>D8+1+D$4</f>
        <v>4</v>
      </c>
    </row>
    <row r="10" ht="12.9" customHeight="1">
      <c r="A10" t="s" s="59">
        <v>28</v>
      </c>
      <c r="B10" t="s" s="60">
        <v>29</v>
      </c>
      <c r="C10" s="66"/>
      <c r="D10" s="63">
        <f>D9+1+D$4</f>
        <v>5</v>
      </c>
    </row>
    <row r="11" ht="12.9" customHeight="1">
      <c r="A11" t="s" s="59">
        <v>31</v>
      </c>
      <c r="B11" t="s" s="60">
        <v>32</v>
      </c>
      <c r="C11" s="66"/>
      <c r="D11" s="63">
        <f>D10+1+D$4</f>
        <v>6</v>
      </c>
    </row>
    <row r="12" ht="12.9" customHeight="1">
      <c r="A12" t="s" s="59">
        <v>34</v>
      </c>
      <c r="B12" t="s" s="60">
        <v>35</v>
      </c>
      <c r="C12" s="66"/>
      <c r="D12" s="63">
        <f>D11+1+D$4</f>
        <v>7</v>
      </c>
    </row>
    <row r="13" ht="12.9" customHeight="1">
      <c r="A13" t="s" s="59">
        <v>37</v>
      </c>
      <c r="B13" t="s" s="60">
        <v>38</v>
      </c>
      <c r="C13" s="66"/>
      <c r="D13" s="63">
        <f>D12+1+D$4</f>
        <v>8</v>
      </c>
    </row>
    <row r="14" ht="12.9" customHeight="1">
      <c r="A14" t="s" s="59">
        <v>40</v>
      </c>
      <c r="B14" t="s" s="60">
        <v>41</v>
      </c>
      <c r="C14" s="66"/>
      <c r="D14" s="63">
        <f>D13+1+D$4</f>
        <v>9</v>
      </c>
    </row>
    <row r="15" ht="12.9" customHeight="1">
      <c r="A15" t="s" s="59">
        <v>43</v>
      </c>
      <c r="B15" t="s" s="60">
        <v>44</v>
      </c>
      <c r="C15" s="66"/>
      <c r="D15" s="63">
        <f>D14+1+D$4</f>
        <v>10</v>
      </c>
    </row>
    <row r="16" ht="12.9" customHeight="1">
      <c r="A16" t="s" s="59">
        <v>47</v>
      </c>
      <c r="B16" t="s" s="60">
        <v>48</v>
      </c>
      <c r="C16" s="66"/>
      <c r="D16" s="63">
        <f>D15+1+D$4</f>
        <v>11</v>
      </c>
    </row>
    <row r="17" ht="12.9" customHeight="1">
      <c r="A17" t="s" s="59">
        <v>50</v>
      </c>
      <c r="B17" t="s" s="60">
        <v>51</v>
      </c>
      <c r="C17" s="66"/>
      <c r="D17" s="63">
        <f>D16+1+D$4</f>
        <v>12</v>
      </c>
    </row>
    <row r="18" ht="12.9" customHeight="1">
      <c r="A18" t="s" s="59">
        <v>37</v>
      </c>
      <c r="B18" t="s" s="60">
        <v>51</v>
      </c>
      <c r="C18" s="66"/>
      <c r="D18" s="63">
        <f>D17+1+D$4</f>
        <v>13</v>
      </c>
    </row>
    <row r="19" ht="12.9" customHeight="1">
      <c r="A19" t="s" s="59">
        <v>54</v>
      </c>
      <c r="B19" t="s" s="60">
        <v>55</v>
      </c>
      <c r="C19" s="66"/>
      <c r="D19" s="63">
        <f>D18+1+D$4</f>
        <v>14</v>
      </c>
    </row>
    <row r="20" ht="12.9" customHeight="1">
      <c r="A20" t="s" s="59">
        <v>57</v>
      </c>
      <c r="B20" t="s" s="60">
        <v>58</v>
      </c>
      <c r="C20" s="66"/>
      <c r="D20" s="63">
        <f>D19+1+D$4</f>
        <v>15</v>
      </c>
    </row>
    <row r="21" ht="12.9" customHeight="1">
      <c r="A21" t="s" s="59">
        <v>61</v>
      </c>
      <c r="B21" t="s" s="60">
        <v>62</v>
      </c>
      <c r="C21" s="66"/>
      <c r="D21" s="63">
        <f>D20+1+D$4</f>
        <v>16</v>
      </c>
    </row>
    <row r="22" ht="12.9" customHeight="1">
      <c r="A22" t="s" s="59">
        <v>64</v>
      </c>
      <c r="B22" t="s" s="60">
        <v>65</v>
      </c>
      <c r="C22" s="66"/>
      <c r="D22" s="63">
        <f>D21+1+D$4</f>
        <v>17</v>
      </c>
    </row>
    <row r="23" ht="12.9" customHeight="1">
      <c r="A23" t="s" s="59">
        <v>67</v>
      </c>
      <c r="B23" t="s" s="60">
        <v>68</v>
      </c>
      <c r="C23" s="66"/>
      <c r="D23" s="63">
        <f>D22+1+D$4</f>
        <v>18</v>
      </c>
    </row>
    <row r="24" ht="12.9" customHeight="1">
      <c r="A24" t="s" s="59">
        <v>70</v>
      </c>
      <c r="B24" t="s" s="60">
        <v>71</v>
      </c>
      <c r="C24" s="66"/>
      <c r="D24" s="63">
        <f>D23+1+D$4</f>
        <v>19</v>
      </c>
    </row>
    <row r="25" ht="12.9" customHeight="1">
      <c r="A25" t="s" s="59">
        <v>73</v>
      </c>
      <c r="B25" t="s" s="60">
        <v>74</v>
      </c>
      <c r="C25" s="66"/>
      <c r="D25" s="63">
        <f>D24+1+D$4</f>
        <v>20</v>
      </c>
    </row>
    <row r="26" ht="12.9" customHeight="1">
      <c r="A26" t="s" s="59">
        <v>76</v>
      </c>
      <c r="B26" t="s" s="60">
        <v>77</v>
      </c>
      <c r="C26" s="66"/>
      <c r="D26" s="63">
        <f>D25+1+D$4</f>
        <v>21</v>
      </c>
    </row>
    <row r="27" ht="12.9" customHeight="1">
      <c r="A27" t="s" s="59">
        <v>79</v>
      </c>
      <c r="B27" t="s" s="60">
        <v>80</v>
      </c>
      <c r="C27" s="66"/>
      <c r="D27" s="63">
        <f>D26+1+D$4</f>
        <v>22</v>
      </c>
    </row>
    <row r="28" ht="12.9" customHeight="1">
      <c r="A28" t="s" s="59">
        <v>83</v>
      </c>
      <c r="B28" t="s" s="60">
        <v>84</v>
      </c>
      <c r="C28" s="66"/>
      <c r="D28" s="63">
        <f>D27+1+D$4</f>
        <v>23</v>
      </c>
    </row>
    <row r="29" ht="12.9" customHeight="1">
      <c r="A29" t="s" s="59">
        <v>76</v>
      </c>
      <c r="B29" t="s" s="60">
        <v>86</v>
      </c>
      <c r="C29" s="66"/>
      <c r="D29" s="63">
        <f>D28+1+D$4</f>
        <v>24</v>
      </c>
    </row>
    <row r="30" ht="12.9" customHeight="1">
      <c r="A30" t="s" s="59">
        <v>88</v>
      </c>
      <c r="B30" t="s" s="60">
        <v>89</v>
      </c>
      <c r="C30" s="66"/>
      <c r="D30" s="63">
        <f>D29+1+D$4</f>
        <v>25</v>
      </c>
    </row>
    <row r="31" ht="12.9" customHeight="1">
      <c r="A31" t="s" s="59">
        <v>91</v>
      </c>
      <c r="B31" t="s" s="60">
        <v>92</v>
      </c>
      <c r="C31" s="66"/>
      <c r="D31" s="63">
        <f>D30+1+D$4</f>
        <v>26</v>
      </c>
    </row>
    <row r="32" ht="12.9" customHeight="1">
      <c r="A32" t="s" s="59">
        <v>28</v>
      </c>
      <c r="B32" t="s" s="60">
        <v>94</v>
      </c>
      <c r="C32" s="66"/>
      <c r="D32" s="63">
        <f>D31+1+D$4</f>
        <v>27</v>
      </c>
    </row>
    <row r="33" ht="12.9" customHeight="1">
      <c r="A33" t="s" s="59">
        <v>96</v>
      </c>
      <c r="B33" t="s" s="60">
        <v>97</v>
      </c>
      <c r="C33" s="66"/>
      <c r="D33" s="63">
        <f>D32+1+D$4</f>
        <v>28</v>
      </c>
    </row>
    <row r="34" ht="12.9" customHeight="1">
      <c r="A34" t="s" s="59">
        <v>88</v>
      </c>
      <c r="B34" t="s" s="60">
        <v>99</v>
      </c>
      <c r="C34" s="66"/>
      <c r="D34" s="63">
        <f>D33+1+D$4</f>
        <v>29</v>
      </c>
    </row>
    <row r="35" ht="12.9" customHeight="1">
      <c r="A35" t="s" s="59">
        <v>101</v>
      </c>
      <c r="B35" t="s" s="60">
        <v>102</v>
      </c>
      <c r="C35" s="66"/>
      <c r="D35" s="63">
        <f>D34+1+D$4</f>
        <v>30</v>
      </c>
    </row>
    <row r="36" ht="12.9" customHeight="1">
      <c r="A36" t="s" s="59">
        <v>104</v>
      </c>
      <c r="B36" t="s" s="60">
        <v>105</v>
      </c>
      <c r="C36" s="66"/>
      <c r="D36" s="63">
        <f>D35+1+D$4</f>
        <v>31</v>
      </c>
    </row>
    <row r="37" ht="12.9" customHeight="1">
      <c r="A37" t="s" s="59">
        <v>83</v>
      </c>
      <c r="B37" t="s" s="60">
        <v>107</v>
      </c>
      <c r="C37" s="66"/>
      <c r="D37" s="63">
        <f>D36+1+D$4</f>
        <v>32</v>
      </c>
    </row>
    <row r="38" ht="12.9" customHeight="1">
      <c r="A38" t="s" s="59">
        <v>109</v>
      </c>
      <c r="B38" t="s" s="60">
        <v>110</v>
      </c>
      <c r="C38" s="66"/>
      <c r="D38" s="63">
        <f>D37+1+D$4</f>
        <v>33</v>
      </c>
    </row>
    <row r="39" ht="12.9" customHeight="1">
      <c r="A39" t="s" s="59">
        <v>70</v>
      </c>
      <c r="B39" t="s" s="60">
        <v>112</v>
      </c>
      <c r="C39" s="66"/>
      <c r="D39" s="63">
        <f>D38+1+D$4</f>
        <v>34</v>
      </c>
    </row>
    <row r="40" ht="12.9" customHeight="1">
      <c r="A40" t="s" s="59">
        <v>40</v>
      </c>
      <c r="B40" t="s" s="60">
        <v>114</v>
      </c>
      <c r="C40" s="66"/>
      <c r="D40" s="63">
        <f>D39+1+D$4</f>
        <v>35</v>
      </c>
    </row>
    <row r="41" ht="12.9" customHeight="1">
      <c r="A41" t="s" s="59">
        <v>116</v>
      </c>
      <c r="B41" t="s" s="60">
        <v>117</v>
      </c>
      <c r="C41" s="66"/>
      <c r="D41" s="63">
        <f>D40+1+D$4</f>
        <v>36</v>
      </c>
    </row>
    <row r="42" ht="14" customHeight="1">
      <c r="A42" t="s" s="70">
        <v>119</v>
      </c>
      <c r="B42" t="s" s="71">
        <v>120</v>
      </c>
      <c r="C42" s="66"/>
      <c r="D42" s="63">
        <f>D41+1+D$4</f>
        <v>37</v>
      </c>
    </row>
    <row r="43" ht="13" customHeight="1">
      <c r="A43" s="91"/>
      <c r="B43" s="81"/>
      <c r="C43" s="66"/>
      <c r="D43" s="63">
        <f>D42+1+D$4</f>
        <v>38</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AI47"/>
  <sheetViews>
    <sheetView workbookViewId="0" showGridLines="0" defaultGridColor="1">
      <pane topLeftCell="C7" xSplit="2" ySplit="6" activePane="bottomRight" state="frozen"/>
    </sheetView>
  </sheetViews>
  <sheetFormatPr defaultColWidth="16.3333" defaultRowHeight="15.4" customHeight="1" outlineLevelRow="0" outlineLevelCol="0"/>
  <cols>
    <col min="1" max="1" width="11.7734" style="92" customWidth="1"/>
    <col min="2" max="2" width="16.3516" style="92" customWidth="1"/>
    <col min="3" max="3" width="10.6172" style="92" customWidth="1"/>
    <col min="4" max="5" width="8.54688" style="92" customWidth="1"/>
    <col min="6" max="6" width="8.14062" style="92" customWidth="1"/>
    <col min="7" max="7" width="6.22656" style="92" customWidth="1"/>
    <col min="8" max="8" width="8.40625" style="92" customWidth="1"/>
    <col min="9" max="9" width="10.0781" style="92" customWidth="1"/>
    <col min="10" max="10" width="7.90625" style="92" customWidth="1"/>
    <col min="11" max="11" width="10.8281" style="92" customWidth="1"/>
    <col min="12" max="12" width="7.46094" style="92" customWidth="1"/>
    <col min="13" max="13" width="9.90625" style="92" customWidth="1"/>
    <col min="14" max="14" width="9.35156" style="92" customWidth="1"/>
    <col min="15" max="15" width="11.4141" style="92" customWidth="1"/>
    <col min="16" max="16" width="8.67969" style="92" customWidth="1"/>
    <col min="17" max="17" width="8.73438" style="92" customWidth="1"/>
    <col min="18" max="18" width="9.6875" style="92" customWidth="1"/>
    <col min="19" max="19" width="9.48438" style="92" customWidth="1"/>
    <col min="20" max="20" width="10.9062" style="92" customWidth="1"/>
    <col min="21" max="24" width="9.78125" style="92" customWidth="1"/>
    <col min="25" max="25" width="9.08594" style="92" customWidth="1"/>
    <col min="26" max="34" width="16.3516" style="92" customWidth="1"/>
    <col min="35" max="35" width="67.4766" style="92" customWidth="1"/>
    <col min="36" max="16384" width="16.3516" style="92" customWidth="1"/>
  </cols>
  <sheetData>
    <row r="1" ht="15.55" customHeight="1">
      <c r="A1" t="s" s="7">
        <v>159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ht="27.55" customHeight="1">
      <c r="A2" s="41"/>
      <c r="B2" s="93"/>
      <c r="C2" t="s" s="94">
        <v>161</v>
      </c>
      <c r="D2" s="95"/>
      <c r="E2" s="96"/>
      <c r="F2" t="s" s="97">
        <v>162</v>
      </c>
      <c r="G2" s="96"/>
      <c r="H2" s="95"/>
      <c r="I2" s="95"/>
      <c r="J2" s="95"/>
      <c r="K2" s="95"/>
      <c r="L2" s="95"/>
      <c r="M2" s="95"/>
      <c r="N2" s="95"/>
      <c r="O2" s="95"/>
      <c r="P2" s="95"/>
      <c r="Q2" s="95"/>
      <c r="R2" s="98"/>
      <c r="S2" t="s" s="99">
        <v>163</v>
      </c>
      <c r="T2" s="51"/>
      <c r="U2" s="51"/>
      <c r="V2" s="51"/>
      <c r="W2" s="51"/>
      <c r="X2" s="51"/>
      <c r="Y2" t="s" s="100">
        <v>164</v>
      </c>
      <c r="Z2" s="95"/>
      <c r="AA2" s="95"/>
      <c r="AB2" s="95"/>
      <c r="AC2" t="s" s="101">
        <v>165</v>
      </c>
      <c r="AD2" s="95"/>
      <c r="AE2" s="102"/>
      <c r="AF2" s="103"/>
      <c r="AG2" s="104"/>
      <c r="AH2" s="105"/>
      <c r="AI2" s="106"/>
    </row>
    <row r="3" ht="55.4" customHeight="1">
      <c r="A3" s="41"/>
      <c r="B3" s="93"/>
      <c r="C3" t="s" s="94">
        <v>166</v>
      </c>
      <c r="D3" t="s" s="94">
        <v>167</v>
      </c>
      <c r="E3" t="s" s="94">
        <v>168</v>
      </c>
      <c r="F3" t="s" s="97">
        <v>169</v>
      </c>
      <c r="G3" s="95"/>
      <c r="H3" s="95"/>
      <c r="I3" s="95"/>
      <c r="J3" s="95"/>
      <c r="K3" s="95"/>
      <c r="L3" t="s" s="97">
        <v>170</v>
      </c>
      <c r="M3" s="95"/>
      <c r="N3" t="s" s="107">
        <v>171</v>
      </c>
      <c r="O3" t="s" s="97">
        <v>172</v>
      </c>
      <c r="P3" s="95"/>
      <c r="Q3" s="95"/>
      <c r="R3" s="95"/>
      <c r="S3" t="s" s="108">
        <v>173</v>
      </c>
      <c r="T3" s="109"/>
      <c r="U3" s="109"/>
      <c r="V3" t="s" s="108">
        <v>174</v>
      </c>
      <c r="W3" s="109"/>
      <c r="X3" s="109"/>
      <c r="Y3" t="s" s="110">
        <v>175</v>
      </c>
      <c r="Z3" t="s" s="110">
        <v>176</v>
      </c>
      <c r="AA3" t="s" s="110">
        <v>177</v>
      </c>
      <c r="AB3" t="s" s="110">
        <v>178</v>
      </c>
      <c r="AC3" t="s" s="111">
        <v>179</v>
      </c>
      <c r="AD3" t="s" s="111">
        <v>180</v>
      </c>
      <c r="AE3" t="s" s="94">
        <v>181</v>
      </c>
      <c r="AF3" t="s" s="112">
        <v>182</v>
      </c>
      <c r="AG3" t="s" s="113">
        <v>183</v>
      </c>
      <c r="AH3" t="s" s="114">
        <v>182</v>
      </c>
      <c r="AI3" t="s" s="115">
        <v>158</v>
      </c>
    </row>
    <row r="4" ht="78.55" customHeight="1">
      <c r="A4" s="41"/>
      <c r="B4" s="93"/>
      <c r="C4" s="116"/>
      <c r="D4" s="116"/>
      <c r="E4" s="116"/>
      <c r="F4" t="s" s="107">
        <v>184</v>
      </c>
      <c r="G4" t="s" s="107">
        <v>185</v>
      </c>
      <c r="H4" t="s" s="107">
        <v>186</v>
      </c>
      <c r="I4" t="s" s="107">
        <v>187</v>
      </c>
      <c r="J4" t="s" s="107">
        <v>188</v>
      </c>
      <c r="K4" t="s" s="107">
        <v>189</v>
      </c>
      <c r="L4" t="s" s="107">
        <v>187</v>
      </c>
      <c r="M4" t="s" s="107">
        <v>190</v>
      </c>
      <c r="N4" t="s" s="107">
        <v>191</v>
      </c>
      <c r="O4" t="s" s="107">
        <v>192</v>
      </c>
      <c r="P4" t="s" s="107">
        <v>193</v>
      </c>
      <c r="Q4" t="s" s="107">
        <v>194</v>
      </c>
      <c r="R4" t="s" s="107">
        <v>195</v>
      </c>
      <c r="S4" t="s" s="117">
        <v>196</v>
      </c>
      <c r="T4" t="s" s="117">
        <v>197</v>
      </c>
      <c r="U4" t="s" s="117">
        <v>198</v>
      </c>
      <c r="V4" t="s" s="117">
        <v>199</v>
      </c>
      <c r="W4" t="s" s="117">
        <v>200</v>
      </c>
      <c r="X4" t="s" s="117">
        <v>201</v>
      </c>
      <c r="Y4" s="118"/>
      <c r="Z4" s="118"/>
      <c r="AA4" s="118"/>
      <c r="AB4" s="118"/>
      <c r="AC4" s="119"/>
      <c r="AD4" s="119"/>
      <c r="AE4" s="116"/>
      <c r="AF4" s="120"/>
      <c r="AG4" s="121"/>
      <c r="AH4" s="122"/>
      <c r="AI4" s="123"/>
    </row>
    <row r="5" ht="27.55" customHeight="1">
      <c r="A5" s="41"/>
      <c r="B5" s="93"/>
      <c r="C5" s="124">
        <v>5</v>
      </c>
      <c r="D5" s="124">
        <v>5</v>
      </c>
      <c r="E5" s="124">
        <v>3</v>
      </c>
      <c r="F5" s="125">
        <v>3</v>
      </c>
      <c r="G5" s="125">
        <v>3</v>
      </c>
      <c r="H5" s="125">
        <v>3</v>
      </c>
      <c r="I5" s="125">
        <v>3</v>
      </c>
      <c r="J5" s="125">
        <v>3</v>
      </c>
      <c r="K5" s="125">
        <v>3</v>
      </c>
      <c r="L5" s="125">
        <v>2</v>
      </c>
      <c r="M5" s="125">
        <v>2</v>
      </c>
      <c r="N5" s="125">
        <v>3</v>
      </c>
      <c r="O5" s="125">
        <v>4</v>
      </c>
      <c r="P5" s="125">
        <v>4</v>
      </c>
      <c r="Q5" s="125">
        <v>4</v>
      </c>
      <c r="R5" s="125">
        <v>4</v>
      </c>
      <c r="S5" s="126">
        <v>4</v>
      </c>
      <c r="T5" s="126">
        <v>4</v>
      </c>
      <c r="U5" s="126">
        <v>4</v>
      </c>
      <c r="V5" s="126">
        <v>5</v>
      </c>
      <c r="W5" s="126">
        <v>5</v>
      </c>
      <c r="X5" s="126">
        <v>5</v>
      </c>
      <c r="Y5" s="127">
        <v>2</v>
      </c>
      <c r="Z5" s="128">
        <v>2</v>
      </c>
      <c r="AA5" s="128">
        <v>3</v>
      </c>
      <c r="AB5" s="128">
        <v>6</v>
      </c>
      <c r="AC5" s="129">
        <v>2</v>
      </c>
      <c r="AD5" s="129">
        <v>4</v>
      </c>
      <c r="AE5" s="124">
        <v>10</v>
      </c>
      <c r="AF5" s="130">
        <f>MIN(100,SUM(C$5:AE$5))</f>
        <v>100</v>
      </c>
      <c r="AG5" s="131">
        <v>100</v>
      </c>
      <c r="AH5" s="132">
        <f>AF5*AG5/100</f>
        <v>100</v>
      </c>
      <c r="AI5" s="106"/>
    </row>
    <row r="6" ht="27.55" customHeight="1">
      <c r="A6" t="s" s="50">
        <v>141</v>
      </c>
      <c r="B6" t="s" s="50">
        <v>142</v>
      </c>
      <c r="C6" s="133"/>
      <c r="D6" s="133"/>
      <c r="E6" s="134">
        <f>SUM(C$5:E$5)</f>
        <v>13</v>
      </c>
      <c r="F6" s="133"/>
      <c r="G6" s="133"/>
      <c r="H6" s="133"/>
      <c r="I6" s="133"/>
      <c r="J6" s="133"/>
      <c r="K6" s="134">
        <f>SUM(F$5:K$5)</f>
        <v>18</v>
      </c>
      <c r="L6" s="133"/>
      <c r="M6" s="134">
        <f>SUM(L$5:M$5)</f>
        <v>4</v>
      </c>
      <c r="N6" s="133"/>
      <c r="O6" t="s" s="135">
        <v>157</v>
      </c>
      <c r="P6" s="133"/>
      <c r="Q6" s="133"/>
      <c r="R6" s="134">
        <f>SUM(O$5:R$5)</f>
        <v>16</v>
      </c>
      <c r="S6" s="133"/>
      <c r="T6" s="133"/>
      <c r="U6" s="134">
        <f>SUM(S5:U5)</f>
        <v>12</v>
      </c>
      <c r="V6" s="133"/>
      <c r="W6" s="133"/>
      <c r="X6" s="134">
        <f>SUM(V$5:X$5)</f>
        <v>15</v>
      </c>
      <c r="Y6" s="133"/>
      <c r="Z6" s="133"/>
      <c r="AA6" s="133"/>
      <c r="AB6" s="134">
        <f>SUM(Y5:AB5)</f>
        <v>13</v>
      </c>
      <c r="AC6" s="133"/>
      <c r="AD6" s="134">
        <f>SUM(AC$5:AD$5)</f>
        <v>6</v>
      </c>
      <c r="AE6" s="136"/>
      <c r="AF6" s="130">
        <f>MIN(100,SUM(C$5:AE$5))</f>
        <v>100</v>
      </c>
      <c r="AG6" s="137">
        <v>100</v>
      </c>
      <c r="AH6" s="132">
        <f>AF6*AG6/100</f>
        <v>100</v>
      </c>
      <c r="AI6" s="138"/>
    </row>
    <row r="7" ht="27.55" customHeight="1">
      <c r="A7" s="54"/>
      <c r="B7" s="55"/>
      <c r="C7" s="56"/>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139"/>
      <c r="AF7" s="140">
        <f>MIN(100,SUM(C7:AE7))</f>
        <v>0</v>
      </c>
      <c r="AG7" s="141"/>
      <c r="AH7" s="142">
        <f>AF7*AG7/100</f>
        <v>0</v>
      </c>
      <c r="AI7" s="143"/>
    </row>
    <row r="8" ht="27.55" customHeight="1">
      <c r="A8" t="s" s="59">
        <v>18</v>
      </c>
      <c r="B8" t="s" s="60">
        <v>19</v>
      </c>
      <c r="C8" s="66"/>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144"/>
      <c r="AF8" s="145">
        <f>MIN(100,SUM(C8:AE8))</f>
        <v>0</v>
      </c>
      <c r="AG8" s="146"/>
      <c r="AH8" s="147">
        <f>AF8*AG8/100</f>
        <v>0</v>
      </c>
      <c r="AI8" t="s" s="148">
        <v>157</v>
      </c>
    </row>
    <row r="9" ht="27.55" customHeight="1">
      <c r="A9" t="s" s="59">
        <v>22</v>
      </c>
      <c r="B9" t="s" s="60">
        <v>23</v>
      </c>
      <c r="C9" s="66"/>
      <c r="D9" s="65"/>
      <c r="E9" s="65"/>
      <c r="F9" s="65"/>
      <c r="G9" s="65"/>
      <c r="H9" s="65"/>
      <c r="I9" s="65"/>
      <c r="J9" s="65"/>
      <c r="K9" s="65"/>
      <c r="L9" s="65"/>
      <c r="M9" s="65"/>
      <c r="N9" s="65"/>
      <c r="O9" s="65"/>
      <c r="P9" s="65"/>
      <c r="Q9" s="65"/>
      <c r="R9" s="65"/>
      <c r="S9" s="65"/>
      <c r="T9" s="65"/>
      <c r="U9" s="65"/>
      <c r="V9" s="65"/>
      <c r="W9" s="65"/>
      <c r="X9" s="65"/>
      <c r="Y9" s="65"/>
      <c r="Z9" s="65"/>
      <c r="AA9" s="65"/>
      <c r="AB9" s="65"/>
      <c r="AC9" s="65"/>
      <c r="AD9" s="65"/>
      <c r="AE9" s="144"/>
      <c r="AF9" s="145">
        <f>MIN(100,SUM(C9:AE9))</f>
        <v>0</v>
      </c>
      <c r="AG9" s="149"/>
      <c r="AH9" s="147">
        <f>AF9*AG9/100</f>
        <v>0</v>
      </c>
      <c r="AI9" s="150"/>
    </row>
    <row r="10" ht="27.55" customHeight="1">
      <c r="A10" t="s" s="59">
        <v>25</v>
      </c>
      <c r="B10" t="s" s="60">
        <v>26</v>
      </c>
      <c r="C10" s="66"/>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144"/>
      <c r="AF10" s="145">
        <f>MIN(100,SUM(C10:AE10))</f>
        <v>0</v>
      </c>
      <c r="AG10" s="151"/>
      <c r="AH10" s="147">
        <f>AF10*AG10/100</f>
        <v>0</v>
      </c>
      <c r="AI10" s="150"/>
    </row>
    <row r="11" ht="27.55" customHeight="1">
      <c r="A11" t="s" s="59">
        <v>28</v>
      </c>
      <c r="B11" t="s" s="60">
        <v>29</v>
      </c>
      <c r="C11" s="66"/>
      <c r="D11" s="65"/>
      <c r="E11" s="65"/>
      <c r="F11" s="65"/>
      <c r="G11" s="65"/>
      <c r="H11" s="65"/>
      <c r="I11" s="65"/>
      <c r="J11" s="65"/>
      <c r="K11" s="65"/>
      <c r="L11" s="65"/>
      <c r="M11" s="65"/>
      <c r="N11" s="65"/>
      <c r="O11" s="65"/>
      <c r="P11" s="65"/>
      <c r="Q11" s="65"/>
      <c r="R11" s="65"/>
      <c r="S11" s="65"/>
      <c r="T11" s="65"/>
      <c r="U11" s="65"/>
      <c r="V11" s="65"/>
      <c r="W11" s="65"/>
      <c r="X11" s="65"/>
      <c r="Y11" s="65"/>
      <c r="Z11" s="65"/>
      <c r="AA11" s="65"/>
      <c r="AB11" s="65"/>
      <c r="AC11" s="65"/>
      <c r="AD11" s="65"/>
      <c r="AE11" s="144"/>
      <c r="AF11" s="145">
        <f>MIN(100,SUM(C11:AE11))</f>
        <v>0</v>
      </c>
      <c r="AG11" s="149"/>
      <c r="AH11" s="147">
        <f>AF11*AG11/100</f>
        <v>0</v>
      </c>
      <c r="AI11" s="150"/>
    </row>
    <row r="12" ht="27.55" customHeight="1">
      <c r="A12" t="s" s="59">
        <v>31</v>
      </c>
      <c r="B12" t="s" s="60">
        <v>32</v>
      </c>
      <c r="C12" s="66"/>
      <c r="D12" s="65"/>
      <c r="E12" s="65"/>
      <c r="F12" s="65"/>
      <c r="G12" s="65"/>
      <c r="H12" s="65"/>
      <c r="I12" s="65"/>
      <c r="J12" s="65"/>
      <c r="K12" s="65"/>
      <c r="L12" s="65"/>
      <c r="M12" s="65"/>
      <c r="N12" s="65"/>
      <c r="O12" s="65"/>
      <c r="P12" s="65"/>
      <c r="Q12" s="65"/>
      <c r="R12" s="65"/>
      <c r="S12" s="65"/>
      <c r="T12" s="65"/>
      <c r="U12" s="65"/>
      <c r="V12" s="65"/>
      <c r="W12" s="65"/>
      <c r="X12" s="65"/>
      <c r="Y12" s="65"/>
      <c r="Z12" s="65"/>
      <c r="AA12" s="65"/>
      <c r="AB12" s="65"/>
      <c r="AC12" s="65"/>
      <c r="AD12" s="65"/>
      <c r="AE12" s="144"/>
      <c r="AF12" s="145">
        <f>MIN(100,SUM(C12:AE12))</f>
        <v>0</v>
      </c>
      <c r="AG12" s="149"/>
      <c r="AH12" s="147">
        <f>AF12*AG12/100</f>
        <v>0</v>
      </c>
      <c r="AI12" s="150"/>
    </row>
    <row r="13" ht="27.55" customHeight="1">
      <c r="A13" t="s" s="59">
        <v>34</v>
      </c>
      <c r="B13" t="s" s="60">
        <v>35</v>
      </c>
      <c r="C13" s="66"/>
      <c r="D13" s="65"/>
      <c r="E13" s="65"/>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144"/>
      <c r="AF13" s="145">
        <f>MIN(100,SUM(C13:AE13))</f>
        <v>0</v>
      </c>
      <c r="AG13" s="149"/>
      <c r="AH13" s="147">
        <f>AF13*AG13/100</f>
        <v>0</v>
      </c>
      <c r="AI13" s="150"/>
    </row>
    <row r="14" ht="27.55" customHeight="1">
      <c r="A14" t="s" s="59">
        <v>37</v>
      </c>
      <c r="B14" t="s" s="60">
        <v>38</v>
      </c>
      <c r="C14" s="66"/>
      <c r="D14" s="65"/>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144"/>
      <c r="AF14" s="145">
        <f>MIN(100,SUM(C14:AE14))</f>
        <v>0</v>
      </c>
      <c r="AG14" s="149"/>
      <c r="AH14" s="147">
        <f>AF14*AG14/100</f>
        <v>0</v>
      </c>
      <c r="AI14" s="150"/>
    </row>
    <row r="15" ht="27.55" customHeight="1">
      <c r="A15" t="s" s="59">
        <v>40</v>
      </c>
      <c r="B15" t="s" s="60">
        <v>41</v>
      </c>
      <c r="C15" s="66"/>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144"/>
      <c r="AF15" s="145">
        <f>MIN(100,SUM(C15:AE15))</f>
        <v>0</v>
      </c>
      <c r="AG15" s="149"/>
      <c r="AH15" s="147">
        <f>AF15*AG15/100</f>
        <v>0</v>
      </c>
      <c r="AI15" s="150"/>
    </row>
    <row r="16" ht="27.55" customHeight="1">
      <c r="A16" t="s" s="59">
        <v>43</v>
      </c>
      <c r="B16" t="s" s="60">
        <v>44</v>
      </c>
      <c r="C16" s="66"/>
      <c r="D16" s="65"/>
      <c r="E16" s="65"/>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144"/>
      <c r="AF16" s="145">
        <f>MIN(100,SUM(C16:AE16))</f>
        <v>0</v>
      </c>
      <c r="AG16" s="151"/>
      <c r="AH16" s="147">
        <f>AF16*AG16/100</f>
        <v>0</v>
      </c>
      <c r="AI16" s="150"/>
    </row>
    <row r="17" ht="27.55" customHeight="1">
      <c r="A17" t="s" s="59">
        <v>47</v>
      </c>
      <c r="B17" t="s" s="60">
        <v>48</v>
      </c>
      <c r="C17" s="66"/>
      <c r="D17" s="65"/>
      <c r="E17" s="65"/>
      <c r="F17" s="65"/>
      <c r="G17" s="65"/>
      <c r="H17" s="65"/>
      <c r="I17" s="65"/>
      <c r="J17" s="65"/>
      <c r="K17" s="65"/>
      <c r="L17" s="65"/>
      <c r="M17" s="65"/>
      <c r="N17" s="65"/>
      <c r="O17" s="65"/>
      <c r="P17" s="65"/>
      <c r="Q17" s="65"/>
      <c r="R17" s="65"/>
      <c r="S17" s="65"/>
      <c r="T17" s="65"/>
      <c r="U17" s="65"/>
      <c r="V17" s="65"/>
      <c r="W17" s="65"/>
      <c r="X17" s="65"/>
      <c r="Y17" s="65"/>
      <c r="Z17" s="65"/>
      <c r="AA17" s="65"/>
      <c r="AB17" s="65"/>
      <c r="AC17" s="65"/>
      <c r="AD17" s="65"/>
      <c r="AE17" s="144"/>
      <c r="AF17" s="145">
        <f>MIN(100,SUM(C17:AE17))</f>
        <v>0</v>
      </c>
      <c r="AG17" s="151"/>
      <c r="AH17" s="147">
        <f>AF17*AG17/100</f>
        <v>0</v>
      </c>
      <c r="AI17" s="150"/>
    </row>
    <row r="18" ht="27.55" customHeight="1">
      <c r="A18" t="s" s="59">
        <v>50</v>
      </c>
      <c r="B18" t="s" s="60">
        <v>51</v>
      </c>
      <c r="C18" s="66"/>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144"/>
      <c r="AF18" s="145">
        <f>MIN(100,SUM(C18:AE18))</f>
        <v>0</v>
      </c>
      <c r="AG18" s="151"/>
      <c r="AH18" s="147">
        <f>AF18*AG18/100</f>
        <v>0</v>
      </c>
      <c r="AI18" s="150"/>
    </row>
    <row r="19" ht="27.55" customHeight="1">
      <c r="A19" t="s" s="59">
        <v>37</v>
      </c>
      <c r="B19" t="s" s="60">
        <v>51</v>
      </c>
      <c r="C19" s="66"/>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144"/>
      <c r="AF19" s="145">
        <f>MIN(100,SUM(C19:AE19))</f>
        <v>0</v>
      </c>
      <c r="AG19" s="151"/>
      <c r="AH19" s="147">
        <f>AF19*AG19/100</f>
        <v>0</v>
      </c>
      <c r="AI19" s="150"/>
    </row>
    <row r="20" ht="27.55" customHeight="1">
      <c r="A20" t="s" s="59">
        <v>54</v>
      </c>
      <c r="B20" t="s" s="60">
        <v>55</v>
      </c>
      <c r="C20" s="66"/>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144"/>
      <c r="AF20" s="145">
        <f>MIN(100,SUM(C20:AE20))</f>
        <v>0</v>
      </c>
      <c r="AG20" s="151"/>
      <c r="AH20" s="147">
        <f>AF20*AG20/100</f>
        <v>0</v>
      </c>
      <c r="AI20" s="150"/>
    </row>
    <row r="21" ht="27.55" customHeight="1">
      <c r="A21" t="s" s="59">
        <v>57</v>
      </c>
      <c r="B21" t="s" s="60">
        <v>58</v>
      </c>
      <c r="C21" s="66"/>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144"/>
      <c r="AF21" s="145">
        <f>MIN(100,SUM(C21:AE21))</f>
        <v>0</v>
      </c>
      <c r="AG21" s="151"/>
      <c r="AH21" s="147">
        <f>AF21*AG21/100</f>
        <v>0</v>
      </c>
      <c r="AI21" s="150"/>
    </row>
    <row r="22" ht="27.55" customHeight="1">
      <c r="A22" t="s" s="59">
        <v>61</v>
      </c>
      <c r="B22" t="s" s="60">
        <v>62</v>
      </c>
      <c r="C22" s="66"/>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144"/>
      <c r="AF22" s="145">
        <f>MIN(100,SUM(C22:AE22))</f>
        <v>0</v>
      </c>
      <c r="AG22" s="151"/>
      <c r="AH22" s="147">
        <f>AF22*AG22/100</f>
        <v>0</v>
      </c>
      <c r="AI22" s="150"/>
    </row>
    <row r="23" ht="27.55" customHeight="1">
      <c r="A23" t="s" s="59">
        <v>64</v>
      </c>
      <c r="B23" t="s" s="60">
        <v>65</v>
      </c>
      <c r="C23" s="66"/>
      <c r="D23" s="65"/>
      <c r="E23" s="65"/>
      <c r="F23" s="65"/>
      <c r="G23" s="65"/>
      <c r="H23" s="65"/>
      <c r="I23" s="65"/>
      <c r="J23" s="65"/>
      <c r="K23" s="65"/>
      <c r="L23" s="65"/>
      <c r="M23" s="65"/>
      <c r="N23" s="65"/>
      <c r="O23" s="65"/>
      <c r="P23" s="65"/>
      <c r="Q23" s="65"/>
      <c r="R23" s="65"/>
      <c r="S23" s="65"/>
      <c r="T23" s="65"/>
      <c r="U23" s="65"/>
      <c r="V23" s="65"/>
      <c r="W23" s="65"/>
      <c r="X23" s="65"/>
      <c r="Y23" s="65"/>
      <c r="Z23" s="65"/>
      <c r="AA23" s="65"/>
      <c r="AB23" s="65"/>
      <c r="AC23" s="65"/>
      <c r="AD23" s="65"/>
      <c r="AE23" s="144"/>
      <c r="AF23" s="145">
        <f>MIN(100,SUM(C23:AE23))</f>
        <v>0</v>
      </c>
      <c r="AG23" s="151"/>
      <c r="AH23" s="147">
        <f>AF23*AG23/100</f>
        <v>0</v>
      </c>
      <c r="AI23" s="150"/>
    </row>
    <row r="24" ht="27.55" customHeight="1">
      <c r="A24" t="s" s="59">
        <v>67</v>
      </c>
      <c r="B24" t="s" s="60">
        <v>68</v>
      </c>
      <c r="C24" s="66"/>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144"/>
      <c r="AF24" s="145">
        <f>MIN(100,SUM(C24:AE24))</f>
        <v>0</v>
      </c>
      <c r="AG24" s="151"/>
      <c r="AH24" s="147">
        <f>AF24*AG24/100</f>
        <v>0</v>
      </c>
      <c r="AI24" s="150"/>
    </row>
    <row r="25" ht="27.55" customHeight="1">
      <c r="A25" t="s" s="59">
        <v>70</v>
      </c>
      <c r="B25" t="s" s="60">
        <v>71</v>
      </c>
      <c r="C25" s="66"/>
      <c r="D25" s="65"/>
      <c r="E25" s="65"/>
      <c r="F25" s="65"/>
      <c r="G25" s="65"/>
      <c r="H25" s="65"/>
      <c r="I25" s="65"/>
      <c r="J25" s="65"/>
      <c r="K25" s="65"/>
      <c r="L25" s="65"/>
      <c r="M25" s="65"/>
      <c r="N25" s="65"/>
      <c r="O25" s="65"/>
      <c r="P25" s="65"/>
      <c r="Q25" s="65"/>
      <c r="R25" s="65"/>
      <c r="S25" s="65"/>
      <c r="T25" s="65"/>
      <c r="U25" s="65"/>
      <c r="V25" s="65"/>
      <c r="W25" s="65"/>
      <c r="X25" s="65"/>
      <c r="Y25" s="65"/>
      <c r="Z25" s="65"/>
      <c r="AA25" s="65"/>
      <c r="AB25" s="65"/>
      <c r="AC25" s="65"/>
      <c r="AD25" s="65"/>
      <c r="AE25" s="144"/>
      <c r="AF25" s="145">
        <f>MIN(100,SUM(C25:AE25))</f>
        <v>0</v>
      </c>
      <c r="AG25" s="151"/>
      <c r="AH25" s="147">
        <f>AF25*AG25/100</f>
        <v>0</v>
      </c>
      <c r="AI25" s="150"/>
    </row>
    <row r="26" ht="27.55" customHeight="1">
      <c r="A26" t="s" s="59">
        <v>73</v>
      </c>
      <c r="B26" t="s" s="60">
        <v>74</v>
      </c>
      <c r="C26" s="66"/>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144"/>
      <c r="AF26" s="145">
        <f>MIN(100,SUM(C26:AE26))</f>
        <v>0</v>
      </c>
      <c r="AG26" s="151"/>
      <c r="AH26" s="147">
        <f>AF26*AG26/100</f>
        <v>0</v>
      </c>
      <c r="AI26" s="150"/>
    </row>
    <row r="27" ht="27.55" customHeight="1">
      <c r="A27" t="s" s="59">
        <v>76</v>
      </c>
      <c r="B27" t="s" s="60">
        <v>77</v>
      </c>
      <c r="C27" s="66"/>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144"/>
      <c r="AF27" s="145">
        <f>MIN(100,SUM(C27:AE27))</f>
        <v>0</v>
      </c>
      <c r="AG27" s="151"/>
      <c r="AH27" s="147">
        <f>AF27*AG27/100</f>
        <v>0</v>
      </c>
      <c r="AI27" s="150"/>
    </row>
    <row r="28" ht="27.55" customHeight="1">
      <c r="A28" t="s" s="59">
        <v>79</v>
      </c>
      <c r="B28" t="s" s="60">
        <v>80</v>
      </c>
      <c r="C28" s="66"/>
      <c r="D28" s="65"/>
      <c r="E28" s="65"/>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144"/>
      <c r="AF28" s="145">
        <f>MIN(100,SUM(C28:AE28))</f>
        <v>0</v>
      </c>
      <c r="AG28" s="151"/>
      <c r="AH28" s="147">
        <f>AF28*AG28/100</f>
        <v>0</v>
      </c>
      <c r="AI28" s="150"/>
    </row>
    <row r="29" ht="27.55" customHeight="1">
      <c r="A29" t="s" s="59">
        <v>83</v>
      </c>
      <c r="B29" t="s" s="60">
        <v>84</v>
      </c>
      <c r="C29" s="66"/>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144"/>
      <c r="AF29" s="145">
        <f>MIN(100,SUM(C29:AE29))</f>
        <v>0</v>
      </c>
      <c r="AG29" s="151"/>
      <c r="AH29" s="147">
        <f>AF29*AG29/100</f>
        <v>0</v>
      </c>
      <c r="AI29" s="150"/>
    </row>
    <row r="30" ht="27.55" customHeight="1">
      <c r="A30" t="s" s="59">
        <v>76</v>
      </c>
      <c r="B30" t="s" s="60">
        <v>86</v>
      </c>
      <c r="C30" s="66"/>
      <c r="D30" s="65"/>
      <c r="E30" s="65"/>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144"/>
      <c r="AF30" s="145">
        <f>MIN(100,SUM(C30:AE30))</f>
        <v>0</v>
      </c>
      <c r="AG30" s="151"/>
      <c r="AH30" s="147">
        <f>AF30*AG30/100</f>
        <v>0</v>
      </c>
      <c r="AI30" s="150"/>
    </row>
    <row r="31" ht="27.55" customHeight="1">
      <c r="A31" t="s" s="59">
        <v>88</v>
      </c>
      <c r="B31" t="s" s="60">
        <v>89</v>
      </c>
      <c r="C31" s="66"/>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144"/>
      <c r="AF31" s="145">
        <f>MIN(100,SUM(C31:AE31))</f>
        <v>0</v>
      </c>
      <c r="AG31" s="151"/>
      <c r="AH31" s="147">
        <f>AF31*AG31/100</f>
        <v>0</v>
      </c>
      <c r="AI31" s="150"/>
    </row>
    <row r="32" ht="27.55" customHeight="1">
      <c r="A32" t="s" s="59">
        <v>91</v>
      </c>
      <c r="B32" t="s" s="60">
        <v>92</v>
      </c>
      <c r="C32" s="66"/>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144"/>
      <c r="AF32" s="145">
        <f>MIN(100,SUM(C32:AE32))</f>
        <v>0</v>
      </c>
      <c r="AG32" s="151"/>
      <c r="AH32" s="147">
        <f>AF32*AG32/100</f>
        <v>0</v>
      </c>
      <c r="AI32" s="150"/>
    </row>
    <row r="33" ht="27.55" customHeight="1">
      <c r="A33" t="s" s="59">
        <v>28</v>
      </c>
      <c r="B33" t="s" s="60">
        <v>94</v>
      </c>
      <c r="C33" s="66"/>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144"/>
      <c r="AF33" s="145">
        <f>MIN(100,SUM(C33:AE33))</f>
        <v>0</v>
      </c>
      <c r="AG33" s="151"/>
      <c r="AH33" s="147">
        <f>AF33*AG33/100</f>
        <v>0</v>
      </c>
      <c r="AI33" s="150"/>
    </row>
    <row r="34" ht="27.55" customHeight="1">
      <c r="A34" t="s" s="59">
        <v>96</v>
      </c>
      <c r="B34" t="s" s="60">
        <v>97</v>
      </c>
      <c r="C34" s="66"/>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144"/>
      <c r="AF34" s="145">
        <f>MIN(100,SUM(C34:AE34))</f>
        <v>0</v>
      </c>
      <c r="AG34" s="151"/>
      <c r="AH34" s="147">
        <f>AF34*AG34/100</f>
        <v>0</v>
      </c>
      <c r="AI34" s="150"/>
    </row>
    <row r="35" ht="27.55" customHeight="1">
      <c r="A35" t="s" s="59">
        <v>88</v>
      </c>
      <c r="B35" t="s" s="60">
        <v>99</v>
      </c>
      <c r="C35" s="66"/>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144"/>
      <c r="AF35" s="145">
        <f>MIN(100,SUM(C35:AE35))</f>
        <v>0</v>
      </c>
      <c r="AG35" s="152"/>
      <c r="AH35" s="147">
        <f>AF35*AG35/100</f>
        <v>0</v>
      </c>
      <c r="AI35" s="150"/>
    </row>
    <row r="36" ht="27.55" customHeight="1">
      <c r="A36" t="s" s="59">
        <v>101</v>
      </c>
      <c r="B36" t="s" s="60">
        <v>102</v>
      </c>
      <c r="C36" s="66"/>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144"/>
      <c r="AF36" s="140">
        <f>MIN(100,SUM(C36:AE36))</f>
        <v>0</v>
      </c>
      <c r="AG36" s="153"/>
      <c r="AH36" s="142">
        <f>AF36*AG36/100</f>
        <v>0</v>
      </c>
      <c r="AI36" s="150"/>
    </row>
    <row r="37" ht="27.55" customHeight="1">
      <c r="A37" t="s" s="59">
        <v>104</v>
      </c>
      <c r="B37" t="s" s="60">
        <v>105</v>
      </c>
      <c r="C37" s="66"/>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144"/>
      <c r="AF37" s="140">
        <f>MIN(100,SUM(C37:AE37))</f>
        <v>0</v>
      </c>
      <c r="AG37" s="154"/>
      <c r="AH37" s="142">
        <f>AF37*AG37/100</f>
        <v>0</v>
      </c>
      <c r="AI37" s="150"/>
    </row>
    <row r="38" ht="27.55" customHeight="1">
      <c r="A38" t="s" s="59">
        <v>83</v>
      </c>
      <c r="B38" t="s" s="60">
        <v>107</v>
      </c>
      <c r="C38" s="66"/>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144"/>
      <c r="AF38" s="140">
        <f>MIN(100,SUM(C38:AE38))</f>
        <v>0</v>
      </c>
      <c r="AG38" s="155"/>
      <c r="AH38" s="142">
        <f>AF38*AG38/100</f>
        <v>0</v>
      </c>
      <c r="AI38" s="150"/>
    </row>
    <row r="39" ht="27.55" customHeight="1">
      <c r="A39" t="s" s="59">
        <v>109</v>
      </c>
      <c r="B39" t="s" s="60">
        <v>110</v>
      </c>
      <c r="C39" s="156"/>
      <c r="D39" s="157"/>
      <c r="E39" s="157"/>
      <c r="F39" s="157"/>
      <c r="G39" s="157"/>
      <c r="H39" s="157"/>
      <c r="I39" s="157"/>
      <c r="J39" s="157"/>
      <c r="K39" s="157"/>
      <c r="L39" s="157"/>
      <c r="M39" s="157"/>
      <c r="N39" s="157"/>
      <c r="O39" s="157"/>
      <c r="P39" s="157"/>
      <c r="Q39" s="157"/>
      <c r="R39" s="157"/>
      <c r="S39" s="157"/>
      <c r="T39" s="157"/>
      <c r="U39" s="157"/>
      <c r="V39" s="157"/>
      <c r="W39" s="157"/>
      <c r="X39" s="157"/>
      <c r="Y39" s="157"/>
      <c r="Z39" s="157"/>
      <c r="AA39" s="157"/>
      <c r="AB39" s="157"/>
      <c r="AC39" s="157"/>
      <c r="AD39" s="157"/>
      <c r="AE39" s="158"/>
      <c r="AF39" s="140">
        <f>MIN(100,SUM(C39:AE39))</f>
        <v>0</v>
      </c>
      <c r="AG39" s="155"/>
      <c r="AH39" s="142">
        <f>AF39*AG39/100</f>
        <v>0</v>
      </c>
      <c r="AI39" s="159"/>
    </row>
    <row r="40" ht="27.55" customHeight="1">
      <c r="A40" t="s" s="59">
        <v>70</v>
      </c>
      <c r="B40" t="s" s="60">
        <v>112</v>
      </c>
      <c r="C40" s="160"/>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162"/>
      <c r="AF40" s="140">
        <f>MIN(100,SUM(C40:AE40))</f>
        <v>0</v>
      </c>
      <c r="AG40" s="163"/>
      <c r="AH40" s="142">
        <f>AF40*AG40/100</f>
        <v>0</v>
      </c>
      <c r="AI40" s="159"/>
    </row>
    <row r="41" ht="27.55" customHeight="1">
      <c r="A41" t="s" s="59">
        <v>40</v>
      </c>
      <c r="B41" t="s" s="60">
        <v>114</v>
      </c>
      <c r="C41" s="160"/>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158"/>
      <c r="AF41" s="140">
        <f>MIN(100,SUM(C41:AE41))</f>
        <v>0</v>
      </c>
      <c r="AG41" s="164"/>
      <c r="AH41" s="142">
        <f>AF41*AG41/100</f>
        <v>0</v>
      </c>
      <c r="AI41" s="159"/>
    </row>
    <row r="42" ht="27.55" customHeight="1">
      <c r="A42" t="s" s="59">
        <v>116</v>
      </c>
      <c r="B42" t="s" s="60">
        <v>117</v>
      </c>
      <c r="C42" s="165"/>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c r="AB42" s="166"/>
      <c r="AC42" s="166"/>
      <c r="AD42" s="166"/>
      <c r="AE42" s="167"/>
      <c r="AF42" s="140">
        <f>MIN(100,SUM(C42:AE42))</f>
        <v>0</v>
      </c>
      <c r="AG42" s="168"/>
      <c r="AH42" s="142">
        <f>AF42*AG42/100</f>
        <v>0</v>
      </c>
      <c r="AI42" s="169"/>
    </row>
    <row r="43" ht="27.55" customHeight="1">
      <c r="A43" t="s" s="70">
        <v>119</v>
      </c>
      <c r="B43" t="s" s="71">
        <v>120</v>
      </c>
      <c r="C43" s="165"/>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7"/>
      <c r="AF43" s="140">
        <f>MIN(100,SUM(C43:AE43))</f>
        <v>0</v>
      </c>
      <c r="AG43" s="168"/>
      <c r="AH43" s="142">
        <f>AF43*AG43/100</f>
        <v>0</v>
      </c>
      <c r="AI43" s="170"/>
    </row>
    <row r="44" ht="27.55" customHeight="1">
      <c r="A44" s="171"/>
      <c r="B44" s="172"/>
      <c r="C44" s="156"/>
      <c r="D44" s="157"/>
      <c r="E44" s="157"/>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7"/>
      <c r="AF44" s="173"/>
      <c r="AG44" s="174"/>
      <c r="AH44" s="173"/>
      <c r="AI44" s="175"/>
    </row>
    <row r="45" ht="27.55" customHeight="1">
      <c r="A45" s="171"/>
      <c r="B45" s="172"/>
      <c r="C45" s="156"/>
      <c r="D45" s="157"/>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74"/>
      <c r="AH45" s="157"/>
      <c r="AI45" s="175"/>
    </row>
    <row r="46" ht="27.55" customHeight="1">
      <c r="A46" s="171"/>
      <c r="B46" s="172"/>
      <c r="C46" s="156"/>
      <c r="D46" s="157"/>
      <c r="E46" s="157"/>
      <c r="F46" s="157"/>
      <c r="G46" s="157"/>
      <c r="H46" s="157"/>
      <c r="I46" s="157"/>
      <c r="J46" s="157"/>
      <c r="K46" s="157"/>
      <c r="L46" s="157"/>
      <c r="M46" s="157"/>
      <c r="N46" s="157"/>
      <c r="O46" s="157"/>
      <c r="P46" s="157"/>
      <c r="Q46" s="157"/>
      <c r="R46" s="157"/>
      <c r="S46" s="157"/>
      <c r="T46" s="157"/>
      <c r="U46" s="157"/>
      <c r="V46" s="157"/>
      <c r="W46" s="157"/>
      <c r="X46" s="157"/>
      <c r="Y46" s="157"/>
      <c r="Z46" s="157"/>
      <c r="AA46" s="157"/>
      <c r="AB46" s="157"/>
      <c r="AC46" s="157"/>
      <c r="AD46" s="157"/>
      <c r="AE46" s="157"/>
      <c r="AF46" s="157"/>
      <c r="AG46" s="174"/>
      <c r="AH46" s="157"/>
      <c r="AI46" s="175"/>
    </row>
    <row r="47" ht="27.55" customHeight="1">
      <c r="A47" s="171"/>
      <c r="B47" s="172"/>
      <c r="C47" s="156"/>
      <c r="D47" s="157"/>
      <c r="E47" s="157"/>
      <c r="F47" s="157"/>
      <c r="G47" s="157"/>
      <c r="H47" s="157"/>
      <c r="I47" s="157"/>
      <c r="J47" s="157"/>
      <c r="K47" s="157"/>
      <c r="L47" s="157"/>
      <c r="M47" s="157"/>
      <c r="N47" s="157"/>
      <c r="O47" s="157"/>
      <c r="P47" s="157"/>
      <c r="Q47" s="157"/>
      <c r="R47" s="157"/>
      <c r="S47" s="157"/>
      <c r="T47" s="157"/>
      <c r="U47" s="157"/>
      <c r="V47" s="157"/>
      <c r="W47" s="157"/>
      <c r="X47" s="157"/>
      <c r="Y47" s="157"/>
      <c r="Z47" s="157"/>
      <c r="AA47" s="157"/>
      <c r="AB47" s="157"/>
      <c r="AC47" s="157"/>
      <c r="AD47" s="157"/>
      <c r="AE47" s="157"/>
      <c r="AF47" s="157"/>
      <c r="AG47" s="174"/>
      <c r="AH47" s="157"/>
      <c r="AI47" s="175"/>
    </row>
  </sheetData>
  <mergeCells count="11">
    <mergeCell ref="A1:AI1"/>
    <mergeCell ref="AC2:AD2"/>
    <mergeCell ref="Y2:AB2"/>
    <mergeCell ref="C2:E2"/>
    <mergeCell ref="F3:K3"/>
    <mergeCell ref="L3:M3"/>
    <mergeCell ref="O3:R3"/>
    <mergeCell ref="F2:R2"/>
    <mergeCell ref="S3:U3"/>
    <mergeCell ref="V3:X3"/>
    <mergeCell ref="S2:X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