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maireadmeagher/Documents/GitRepos/fun-prog-26/"/>
    </mc:Choice>
  </mc:AlternateContent>
  <xr:revisionPtr revIDLastSave="0" documentId="13_ncr:1_{709D0AF7-B71C-B54B-A0FD-4183BD6B9ABA}" xr6:coauthVersionLast="47" xr6:coauthVersionMax="47" xr10:uidLastSave="{00000000-0000-0000-0000-000000000000}"/>
  <bookViews>
    <workbookView xWindow="0" yWindow="660" windowWidth="15120" windowHeight="17960" xr2:uid="{00000000-000D-0000-FFFF-FFFF00000000}"/>
  </bookViews>
  <sheets>
    <sheet name="White Sheet" sheetId="1" r:id="rId1"/>
    <sheet name="Green Sheet" sheetId="2" r:id="rId2"/>
    <sheet name="External Marks" sheetId="3" r:id="rId3"/>
    <sheet name="Roughwork Sheet" sheetId="4" r:id="rId4"/>
  </sheets>
  <definedNames>
    <definedName name="ExtMarks" localSheetId="2">'External Marks'!$B$18:$E$418</definedName>
    <definedName name="ExtMarksRHS" localSheetId="2">'External Marks'!$I$18:$M$51</definedName>
    <definedName name="GSheetAB" localSheetId="1">'Green Sheet'!$CA$1</definedName>
    <definedName name="_xlnm.Print_Area" localSheetId="1">'Green Sheet'!$C$2:$Q$67</definedName>
    <definedName name="_xlnm.Print_Area" localSheetId="0">'White Sheet'!$C$2:$M$67</definedName>
    <definedName name="SpecialGrade" localSheetId="0">'White Sheet'!$CA$1:$CA$114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8" i="3" l="1"/>
  <c r="B418" i="3"/>
  <c r="F417" i="3"/>
  <c r="B417" i="3"/>
  <c r="F416" i="3"/>
  <c r="B416" i="3"/>
  <c r="F415" i="3"/>
  <c r="B415" i="3"/>
  <c r="F414" i="3"/>
  <c r="B414" i="3"/>
  <c r="F413" i="3"/>
  <c r="B413" i="3"/>
  <c r="F412" i="3"/>
  <c r="B412" i="3"/>
  <c r="F411" i="3"/>
  <c r="B411" i="3"/>
  <c r="F410" i="3"/>
  <c r="B410" i="3"/>
  <c r="F409" i="3"/>
  <c r="B409" i="3"/>
  <c r="F408" i="3"/>
  <c r="B408" i="3"/>
  <c r="F407" i="3"/>
  <c r="B407" i="3"/>
  <c r="F406" i="3"/>
  <c r="B406" i="3"/>
  <c r="F405" i="3"/>
  <c r="B405" i="3"/>
  <c r="F404" i="3"/>
  <c r="B404" i="3"/>
  <c r="F403" i="3"/>
  <c r="B403" i="3"/>
  <c r="F402" i="3"/>
  <c r="B402" i="3"/>
  <c r="F401" i="3"/>
  <c r="B401" i="3"/>
  <c r="F400" i="3"/>
  <c r="B400" i="3"/>
  <c r="F399" i="3"/>
  <c r="B399" i="3"/>
  <c r="F398" i="3"/>
  <c r="B398" i="3"/>
  <c r="F397" i="3"/>
  <c r="B397" i="3"/>
  <c r="F396" i="3"/>
  <c r="B396" i="3"/>
  <c r="F395" i="3"/>
  <c r="B395" i="3"/>
  <c r="F394" i="3"/>
  <c r="B394" i="3"/>
  <c r="F393" i="3"/>
  <c r="B393" i="3"/>
  <c r="F392" i="3"/>
  <c r="B392" i="3"/>
  <c r="F391" i="3"/>
  <c r="B391" i="3"/>
  <c r="F390" i="3"/>
  <c r="B390" i="3"/>
  <c r="F389" i="3"/>
  <c r="B389" i="3"/>
  <c r="F388" i="3"/>
  <c r="B388" i="3"/>
  <c r="F387" i="3"/>
  <c r="B387" i="3"/>
  <c r="F386" i="3"/>
  <c r="B386" i="3"/>
  <c r="F385" i="3"/>
  <c r="B385" i="3"/>
  <c r="F384" i="3"/>
  <c r="B384" i="3"/>
  <c r="F383" i="3"/>
  <c r="B383" i="3"/>
  <c r="F382" i="3"/>
  <c r="B382" i="3"/>
  <c r="F381" i="3"/>
  <c r="B381" i="3"/>
  <c r="F380" i="3"/>
  <c r="B380" i="3"/>
  <c r="F379" i="3"/>
  <c r="B379" i="3"/>
  <c r="F378" i="3"/>
  <c r="B378" i="3"/>
  <c r="F377" i="3"/>
  <c r="B377" i="3"/>
  <c r="F376" i="3"/>
  <c r="B376" i="3"/>
  <c r="F375" i="3"/>
  <c r="B375" i="3"/>
  <c r="F374" i="3"/>
  <c r="B374" i="3"/>
  <c r="F373" i="3"/>
  <c r="B373" i="3"/>
  <c r="F372" i="3"/>
  <c r="B372" i="3"/>
  <c r="F371" i="3"/>
  <c r="B371" i="3"/>
  <c r="F370" i="3"/>
  <c r="B370" i="3"/>
  <c r="F369" i="3"/>
  <c r="B369" i="3"/>
  <c r="F368" i="3"/>
  <c r="B368" i="3"/>
  <c r="F367" i="3"/>
  <c r="B367" i="3"/>
  <c r="F366" i="3"/>
  <c r="B366" i="3"/>
  <c r="F365" i="3"/>
  <c r="B365" i="3"/>
  <c r="F364" i="3"/>
  <c r="B364" i="3"/>
  <c r="F363" i="3"/>
  <c r="B363" i="3"/>
  <c r="F362" i="3"/>
  <c r="B362" i="3"/>
  <c r="F361" i="3"/>
  <c r="B361" i="3"/>
  <c r="F360" i="3"/>
  <c r="B360" i="3"/>
  <c r="F359" i="3"/>
  <c r="B359" i="3"/>
  <c r="F358" i="3"/>
  <c r="B358" i="3"/>
  <c r="F357" i="3"/>
  <c r="B357" i="3"/>
  <c r="F356" i="3"/>
  <c r="B356" i="3"/>
  <c r="F355" i="3"/>
  <c r="B355" i="3"/>
  <c r="F354" i="3"/>
  <c r="B354" i="3"/>
  <c r="F353" i="3"/>
  <c r="B353" i="3"/>
  <c r="F352" i="3"/>
  <c r="B352" i="3"/>
  <c r="F351" i="3"/>
  <c r="B351" i="3"/>
  <c r="F350" i="3"/>
  <c r="B350" i="3"/>
  <c r="F349" i="3"/>
  <c r="B349" i="3"/>
  <c r="F348" i="3"/>
  <c r="B348" i="3"/>
  <c r="F347" i="3"/>
  <c r="B347" i="3"/>
  <c r="F346" i="3"/>
  <c r="B346" i="3"/>
  <c r="F345" i="3"/>
  <c r="B345" i="3"/>
  <c r="F344" i="3"/>
  <c r="B344" i="3"/>
  <c r="F343" i="3"/>
  <c r="B343" i="3"/>
  <c r="F342" i="3"/>
  <c r="B342" i="3"/>
  <c r="F341" i="3"/>
  <c r="B341" i="3"/>
  <c r="F340" i="3"/>
  <c r="B340" i="3"/>
  <c r="F339" i="3"/>
  <c r="B339" i="3"/>
  <c r="F338" i="3"/>
  <c r="B338" i="3"/>
  <c r="F337" i="3"/>
  <c r="B337" i="3"/>
  <c r="F336" i="3"/>
  <c r="B336" i="3"/>
  <c r="F335" i="3"/>
  <c r="B335" i="3"/>
  <c r="F334" i="3"/>
  <c r="B334" i="3"/>
  <c r="F333" i="3"/>
  <c r="B333" i="3"/>
  <c r="F332" i="3"/>
  <c r="B332" i="3"/>
  <c r="F331" i="3"/>
  <c r="B331" i="3"/>
  <c r="F330" i="3"/>
  <c r="B330" i="3"/>
  <c r="F329" i="3"/>
  <c r="B329" i="3"/>
  <c r="F328" i="3"/>
  <c r="B328" i="3"/>
  <c r="F327" i="3"/>
  <c r="B327" i="3"/>
  <c r="F326" i="3"/>
  <c r="B326" i="3"/>
  <c r="F325" i="3"/>
  <c r="B325" i="3"/>
  <c r="F324" i="3"/>
  <c r="B324" i="3"/>
  <c r="F323" i="3"/>
  <c r="B323" i="3"/>
  <c r="F322" i="3"/>
  <c r="B322" i="3"/>
  <c r="F321" i="3"/>
  <c r="B321" i="3"/>
  <c r="F320" i="3"/>
  <c r="B320" i="3"/>
  <c r="F319" i="3"/>
  <c r="B319" i="3"/>
  <c r="F318" i="3"/>
  <c r="B318" i="3"/>
  <c r="F317" i="3"/>
  <c r="B317" i="3"/>
  <c r="F316" i="3"/>
  <c r="B316" i="3"/>
  <c r="F315" i="3"/>
  <c r="B315" i="3"/>
  <c r="F314" i="3"/>
  <c r="B314" i="3"/>
  <c r="F313" i="3"/>
  <c r="B313" i="3"/>
  <c r="F312" i="3"/>
  <c r="B312" i="3"/>
  <c r="F311" i="3"/>
  <c r="B311" i="3"/>
  <c r="F310" i="3"/>
  <c r="B310" i="3"/>
  <c r="F309" i="3"/>
  <c r="B309" i="3"/>
  <c r="F308" i="3"/>
  <c r="B308" i="3"/>
  <c r="F307" i="3"/>
  <c r="B307" i="3"/>
  <c r="F306" i="3"/>
  <c r="B306" i="3"/>
  <c r="F305" i="3"/>
  <c r="B305" i="3"/>
  <c r="F304" i="3"/>
  <c r="B304" i="3"/>
  <c r="F303" i="3"/>
  <c r="B303" i="3"/>
  <c r="F302" i="3"/>
  <c r="B302" i="3"/>
  <c r="F301" i="3"/>
  <c r="B301" i="3"/>
  <c r="F300" i="3"/>
  <c r="B300" i="3"/>
  <c r="F299" i="3"/>
  <c r="B299" i="3"/>
  <c r="F298" i="3"/>
  <c r="B298" i="3"/>
  <c r="F297" i="3"/>
  <c r="B297" i="3"/>
  <c r="F296" i="3"/>
  <c r="B296" i="3"/>
  <c r="F295" i="3"/>
  <c r="B295" i="3"/>
  <c r="F294" i="3"/>
  <c r="B294" i="3"/>
  <c r="F293" i="3"/>
  <c r="B293" i="3"/>
  <c r="F292" i="3"/>
  <c r="B292" i="3"/>
  <c r="F291" i="3"/>
  <c r="B291" i="3"/>
  <c r="F290" i="3"/>
  <c r="B290" i="3"/>
  <c r="F289" i="3"/>
  <c r="B289" i="3"/>
  <c r="F288" i="3"/>
  <c r="B288" i="3"/>
  <c r="F287" i="3"/>
  <c r="B287" i="3"/>
  <c r="F286" i="3"/>
  <c r="B286" i="3"/>
  <c r="F285" i="3"/>
  <c r="B285" i="3"/>
  <c r="F284" i="3"/>
  <c r="B284" i="3"/>
  <c r="F283" i="3"/>
  <c r="B283" i="3"/>
  <c r="F282" i="3"/>
  <c r="B282" i="3"/>
  <c r="F281" i="3"/>
  <c r="B281" i="3"/>
  <c r="F280" i="3"/>
  <c r="B280" i="3"/>
  <c r="F279" i="3"/>
  <c r="B279" i="3"/>
  <c r="F278" i="3"/>
  <c r="B278" i="3"/>
  <c r="F277" i="3"/>
  <c r="B277" i="3"/>
  <c r="F276" i="3"/>
  <c r="B276" i="3"/>
  <c r="F275" i="3"/>
  <c r="B275" i="3"/>
  <c r="F274" i="3"/>
  <c r="B274" i="3"/>
  <c r="F273" i="3"/>
  <c r="B273" i="3"/>
  <c r="F272" i="3"/>
  <c r="B272" i="3"/>
  <c r="F271" i="3"/>
  <c r="B271" i="3"/>
  <c r="F270" i="3"/>
  <c r="B270" i="3"/>
  <c r="F269" i="3"/>
  <c r="B269" i="3"/>
  <c r="F268" i="3"/>
  <c r="B268" i="3"/>
  <c r="F267" i="3"/>
  <c r="B267" i="3"/>
  <c r="F266" i="3"/>
  <c r="B266" i="3"/>
  <c r="F265" i="3"/>
  <c r="B265" i="3"/>
  <c r="F264" i="3"/>
  <c r="B264" i="3"/>
  <c r="F263" i="3"/>
  <c r="B263" i="3"/>
  <c r="F262" i="3"/>
  <c r="B262" i="3"/>
  <c r="F261" i="3"/>
  <c r="B261" i="3"/>
  <c r="F260" i="3"/>
  <c r="B260" i="3"/>
  <c r="F259" i="3"/>
  <c r="B259" i="3"/>
  <c r="F258" i="3"/>
  <c r="B258" i="3"/>
  <c r="F257" i="3"/>
  <c r="B257" i="3"/>
  <c r="F256" i="3"/>
  <c r="B256" i="3"/>
  <c r="F255" i="3"/>
  <c r="B255" i="3"/>
  <c r="F254" i="3"/>
  <c r="B254" i="3"/>
  <c r="F253" i="3"/>
  <c r="B253" i="3"/>
  <c r="F252" i="3"/>
  <c r="B252" i="3"/>
  <c r="F251" i="3"/>
  <c r="B251" i="3"/>
  <c r="F250" i="3"/>
  <c r="B250" i="3"/>
  <c r="F249" i="3"/>
  <c r="B249" i="3"/>
  <c r="F248" i="3"/>
  <c r="B248" i="3"/>
  <c r="F247" i="3"/>
  <c r="B247" i="3"/>
  <c r="F246" i="3"/>
  <c r="B246" i="3"/>
  <c r="F245" i="3"/>
  <c r="B245" i="3"/>
  <c r="F244" i="3"/>
  <c r="B244" i="3"/>
  <c r="F243" i="3"/>
  <c r="B243" i="3"/>
  <c r="F242" i="3"/>
  <c r="B242" i="3"/>
  <c r="F241" i="3"/>
  <c r="B241" i="3"/>
  <c r="F240" i="3"/>
  <c r="B240" i="3"/>
  <c r="F239" i="3"/>
  <c r="B239" i="3"/>
  <c r="F238" i="3"/>
  <c r="B238" i="3"/>
  <c r="F237" i="3"/>
  <c r="B237" i="3"/>
  <c r="F236" i="3"/>
  <c r="B236" i="3"/>
  <c r="F235" i="3"/>
  <c r="B235" i="3"/>
  <c r="F234" i="3"/>
  <c r="B234" i="3"/>
  <c r="F233" i="3"/>
  <c r="B233" i="3"/>
  <c r="F232" i="3"/>
  <c r="B232" i="3"/>
  <c r="F231" i="3"/>
  <c r="B231" i="3"/>
  <c r="F230" i="3"/>
  <c r="B230" i="3"/>
  <c r="F229" i="3"/>
  <c r="B229" i="3"/>
  <c r="F228" i="3"/>
  <c r="B228" i="3"/>
  <c r="F227" i="3"/>
  <c r="B227" i="3"/>
  <c r="F226" i="3"/>
  <c r="B226" i="3"/>
  <c r="F225" i="3"/>
  <c r="B225" i="3"/>
  <c r="F224" i="3"/>
  <c r="B224" i="3"/>
  <c r="F223" i="3"/>
  <c r="B223" i="3"/>
  <c r="F222" i="3"/>
  <c r="B222" i="3"/>
  <c r="F221" i="3"/>
  <c r="B221" i="3"/>
  <c r="F220" i="3"/>
  <c r="B220" i="3"/>
  <c r="F219" i="3"/>
  <c r="B219" i="3"/>
  <c r="F218" i="3"/>
  <c r="B218" i="3"/>
  <c r="F217" i="3"/>
  <c r="B217" i="3"/>
  <c r="F216" i="3"/>
  <c r="B216" i="3"/>
  <c r="F215" i="3"/>
  <c r="B215" i="3"/>
  <c r="F214" i="3"/>
  <c r="B214" i="3"/>
  <c r="F213" i="3"/>
  <c r="B213" i="3"/>
  <c r="F212" i="3"/>
  <c r="B212" i="3"/>
  <c r="F211" i="3"/>
  <c r="B211" i="3"/>
  <c r="F210" i="3"/>
  <c r="B210" i="3"/>
  <c r="F209" i="3"/>
  <c r="B209" i="3"/>
  <c r="F208" i="3"/>
  <c r="B208" i="3"/>
  <c r="F207" i="3"/>
  <c r="B207" i="3"/>
  <c r="F206" i="3"/>
  <c r="B206" i="3"/>
  <c r="F205" i="3"/>
  <c r="B205" i="3"/>
  <c r="F204" i="3"/>
  <c r="B204" i="3"/>
  <c r="F203" i="3"/>
  <c r="B203" i="3"/>
  <c r="F202" i="3"/>
  <c r="B202" i="3"/>
  <c r="F201" i="3"/>
  <c r="B201" i="3"/>
  <c r="F200" i="3"/>
  <c r="B200" i="3"/>
  <c r="F199" i="3"/>
  <c r="B199" i="3"/>
  <c r="F198" i="3"/>
  <c r="B198" i="3"/>
  <c r="F197" i="3"/>
  <c r="B197" i="3"/>
  <c r="F196" i="3"/>
  <c r="B196" i="3"/>
  <c r="F195" i="3"/>
  <c r="B195" i="3"/>
  <c r="F194" i="3"/>
  <c r="B194" i="3"/>
  <c r="F193" i="3"/>
  <c r="B193" i="3"/>
  <c r="F192" i="3"/>
  <c r="B192" i="3"/>
  <c r="F191" i="3"/>
  <c r="B191" i="3"/>
  <c r="F190" i="3"/>
  <c r="B190" i="3"/>
  <c r="F189" i="3"/>
  <c r="B189" i="3"/>
  <c r="F188" i="3"/>
  <c r="B188" i="3"/>
  <c r="F187" i="3"/>
  <c r="B187" i="3"/>
  <c r="F186" i="3"/>
  <c r="B186" i="3"/>
  <c r="F185" i="3"/>
  <c r="B185" i="3"/>
  <c r="F184" i="3"/>
  <c r="B184" i="3"/>
  <c r="F183" i="3"/>
  <c r="B183" i="3"/>
  <c r="F182" i="3"/>
  <c r="B182" i="3"/>
  <c r="F181" i="3"/>
  <c r="B181" i="3"/>
  <c r="F180" i="3"/>
  <c r="B180" i="3"/>
  <c r="F179" i="3"/>
  <c r="B179" i="3"/>
  <c r="F178" i="3"/>
  <c r="B178" i="3"/>
  <c r="F177" i="3"/>
  <c r="B177" i="3"/>
  <c r="F176" i="3"/>
  <c r="B176" i="3"/>
  <c r="F175" i="3"/>
  <c r="B175" i="3"/>
  <c r="F174" i="3"/>
  <c r="B174" i="3"/>
  <c r="F173" i="3"/>
  <c r="B173" i="3"/>
  <c r="F172" i="3"/>
  <c r="B172" i="3"/>
  <c r="F171" i="3"/>
  <c r="B171" i="3"/>
  <c r="F170" i="3"/>
  <c r="B170" i="3"/>
  <c r="F169" i="3"/>
  <c r="B169" i="3"/>
  <c r="F168" i="3"/>
  <c r="B168" i="3"/>
  <c r="F167" i="3"/>
  <c r="B167" i="3"/>
  <c r="F166" i="3"/>
  <c r="B166" i="3"/>
  <c r="F165" i="3"/>
  <c r="B165" i="3"/>
  <c r="F164" i="3"/>
  <c r="B164" i="3"/>
  <c r="F163" i="3"/>
  <c r="B163" i="3"/>
  <c r="F162" i="3"/>
  <c r="B162" i="3"/>
  <c r="F161" i="3"/>
  <c r="B161" i="3"/>
  <c r="F160" i="3"/>
  <c r="B160" i="3"/>
  <c r="F159" i="3"/>
  <c r="B159" i="3"/>
  <c r="F158" i="3"/>
  <c r="B158" i="3"/>
  <c r="F157" i="3"/>
  <c r="B157" i="3"/>
  <c r="F156" i="3"/>
  <c r="B156" i="3"/>
  <c r="F155" i="3"/>
  <c r="B155" i="3"/>
  <c r="F154" i="3"/>
  <c r="B154" i="3"/>
  <c r="F153" i="3"/>
  <c r="B153" i="3"/>
  <c r="F152" i="3"/>
  <c r="B152" i="3"/>
  <c r="F151" i="3"/>
  <c r="B151" i="3"/>
  <c r="F150" i="3"/>
  <c r="B150" i="3"/>
  <c r="F149" i="3"/>
  <c r="B149" i="3"/>
  <c r="F148" i="3"/>
  <c r="B148" i="3"/>
  <c r="F147" i="3"/>
  <c r="B147" i="3"/>
  <c r="F146" i="3"/>
  <c r="B146" i="3"/>
  <c r="F145" i="3"/>
  <c r="B145" i="3"/>
  <c r="F144" i="3"/>
  <c r="B144" i="3"/>
  <c r="F143" i="3"/>
  <c r="B143" i="3"/>
  <c r="F142" i="3"/>
  <c r="B142" i="3"/>
  <c r="F141" i="3"/>
  <c r="B141" i="3"/>
  <c r="F140" i="3"/>
  <c r="B140" i="3"/>
  <c r="F139" i="3"/>
  <c r="B139" i="3"/>
  <c r="F138" i="3"/>
  <c r="B138" i="3"/>
  <c r="F137" i="3"/>
  <c r="B137" i="3"/>
  <c r="F136" i="3"/>
  <c r="B136" i="3"/>
  <c r="F135" i="3"/>
  <c r="B135" i="3"/>
  <c r="F134" i="3"/>
  <c r="B134" i="3"/>
  <c r="F133" i="3"/>
  <c r="B133" i="3"/>
  <c r="F132" i="3"/>
  <c r="B132" i="3"/>
  <c r="F131" i="3"/>
  <c r="B131" i="3"/>
  <c r="F130" i="3"/>
  <c r="B130" i="3"/>
  <c r="F129" i="3"/>
  <c r="B129" i="3"/>
  <c r="F128" i="3"/>
  <c r="B128" i="3"/>
  <c r="F127" i="3"/>
  <c r="B127" i="3"/>
  <c r="F126" i="3"/>
  <c r="B126" i="3"/>
  <c r="F125" i="3"/>
  <c r="B125" i="3"/>
  <c r="F124" i="3"/>
  <c r="B124" i="3"/>
  <c r="F123" i="3"/>
  <c r="B123" i="3"/>
  <c r="F122" i="3"/>
  <c r="B122" i="3"/>
  <c r="F121" i="3"/>
  <c r="B121" i="3"/>
  <c r="F120" i="3"/>
  <c r="B120" i="3"/>
  <c r="F119" i="3"/>
  <c r="B119" i="3"/>
  <c r="F118" i="3"/>
  <c r="B118" i="3"/>
  <c r="F117" i="3"/>
  <c r="B117" i="3"/>
  <c r="F116" i="3"/>
  <c r="B116" i="3"/>
  <c r="F115" i="3"/>
  <c r="B115" i="3"/>
  <c r="F114" i="3"/>
  <c r="B114" i="3"/>
  <c r="F113" i="3"/>
  <c r="B113" i="3"/>
  <c r="F112" i="3"/>
  <c r="B112" i="3"/>
  <c r="F111" i="3"/>
  <c r="B111" i="3"/>
  <c r="F110" i="3"/>
  <c r="B110" i="3"/>
  <c r="F109" i="3"/>
  <c r="B109" i="3"/>
  <c r="F108" i="3"/>
  <c r="B108" i="3"/>
  <c r="F107" i="3"/>
  <c r="B107" i="3"/>
  <c r="F106" i="3"/>
  <c r="B106" i="3"/>
  <c r="F105" i="3"/>
  <c r="B105" i="3"/>
  <c r="F104" i="3"/>
  <c r="B104" i="3"/>
  <c r="F103" i="3"/>
  <c r="B103" i="3"/>
  <c r="F102" i="3"/>
  <c r="B102" i="3"/>
  <c r="F101" i="3"/>
  <c r="B101" i="3"/>
  <c r="F100" i="3"/>
  <c r="B100" i="3"/>
  <c r="F99" i="3"/>
  <c r="B99" i="3"/>
  <c r="F98" i="3"/>
  <c r="B98" i="3"/>
  <c r="F97" i="3"/>
  <c r="B97" i="3"/>
  <c r="F96" i="3"/>
  <c r="B96" i="3"/>
  <c r="F95" i="3"/>
  <c r="B95" i="3"/>
  <c r="F94" i="3"/>
  <c r="B94" i="3"/>
  <c r="F93" i="3"/>
  <c r="B93" i="3"/>
  <c r="F92" i="3"/>
  <c r="B92" i="3"/>
  <c r="F91" i="3"/>
  <c r="B91" i="3"/>
  <c r="F90" i="3"/>
  <c r="B90" i="3"/>
  <c r="F89" i="3"/>
  <c r="B89" i="3"/>
  <c r="F88" i="3"/>
  <c r="B88" i="3"/>
  <c r="F87" i="3"/>
  <c r="B87" i="3"/>
  <c r="F86" i="3"/>
  <c r="B86" i="3"/>
  <c r="F85" i="3"/>
  <c r="B85" i="3"/>
  <c r="F84" i="3"/>
  <c r="B84" i="3"/>
  <c r="F83" i="3"/>
  <c r="B83" i="3"/>
  <c r="F82" i="3"/>
  <c r="B82" i="3"/>
  <c r="F81" i="3"/>
  <c r="B81" i="3"/>
  <c r="F80" i="3"/>
  <c r="B80" i="3"/>
  <c r="F79" i="3"/>
  <c r="B79" i="3"/>
  <c r="F78" i="3"/>
  <c r="B78" i="3"/>
  <c r="F77" i="3"/>
  <c r="B77" i="3"/>
  <c r="F76" i="3"/>
  <c r="B76" i="3"/>
  <c r="F75" i="3"/>
  <c r="B75" i="3"/>
  <c r="F74" i="3"/>
  <c r="B74" i="3"/>
  <c r="F73" i="3"/>
  <c r="B73" i="3"/>
  <c r="F72" i="3"/>
  <c r="B72" i="3"/>
  <c r="F71" i="3"/>
  <c r="B71" i="3"/>
  <c r="F70" i="3"/>
  <c r="B70" i="3"/>
  <c r="F69" i="3"/>
  <c r="B69" i="3"/>
  <c r="F68" i="3"/>
  <c r="B68" i="3"/>
  <c r="F67" i="3"/>
  <c r="B67" i="3"/>
  <c r="F66" i="3"/>
  <c r="B66" i="3"/>
  <c r="F65" i="3"/>
  <c r="B65" i="3"/>
  <c r="F64" i="3"/>
  <c r="B64" i="3"/>
  <c r="F63" i="3"/>
  <c r="B63" i="3"/>
  <c r="F62" i="3"/>
  <c r="B62" i="3"/>
  <c r="F61" i="3"/>
  <c r="B61" i="3"/>
  <c r="F60" i="3"/>
  <c r="B60" i="3"/>
  <c r="F59" i="3"/>
  <c r="B59" i="3"/>
  <c r="F58" i="3"/>
  <c r="B58" i="3"/>
  <c r="F57" i="3"/>
  <c r="B57" i="3"/>
  <c r="F56" i="3"/>
  <c r="B56" i="3"/>
  <c r="F55" i="3"/>
  <c r="B55" i="3"/>
  <c r="F54" i="3"/>
  <c r="B54" i="3"/>
  <c r="F53" i="3"/>
  <c r="B53" i="3"/>
  <c r="F52" i="3"/>
  <c r="B52" i="3"/>
  <c r="F51" i="3"/>
  <c r="B51" i="3"/>
  <c r="F50" i="3"/>
  <c r="B50" i="3"/>
  <c r="F49" i="3"/>
  <c r="B49" i="3"/>
  <c r="F48" i="3"/>
  <c r="B48" i="3"/>
  <c r="F47" i="3"/>
  <c r="B47" i="3"/>
  <c r="F46" i="3"/>
  <c r="B46" i="3"/>
  <c r="F45" i="3"/>
  <c r="B45" i="3"/>
  <c r="F44" i="3"/>
  <c r="B44" i="3"/>
  <c r="F43" i="3"/>
  <c r="B43" i="3"/>
  <c r="F42" i="3"/>
  <c r="B42" i="3"/>
  <c r="F41" i="3"/>
  <c r="B41" i="3"/>
  <c r="F40" i="3"/>
  <c r="B40" i="3"/>
  <c r="F39" i="3"/>
  <c r="B39" i="3"/>
  <c r="F38" i="3"/>
  <c r="B38" i="3"/>
  <c r="F37" i="3"/>
  <c r="B37" i="3"/>
  <c r="F36" i="3"/>
  <c r="B36" i="3"/>
  <c r="F35" i="3"/>
  <c r="B35" i="3"/>
  <c r="F34" i="3"/>
  <c r="B34" i="3"/>
  <c r="F33" i="3"/>
  <c r="B33" i="3"/>
  <c r="F32" i="3"/>
  <c r="B32" i="3"/>
  <c r="F31" i="3"/>
  <c r="B31" i="3"/>
  <c r="F30" i="3"/>
  <c r="B30" i="3"/>
  <c r="F29" i="3"/>
  <c r="B29" i="3"/>
  <c r="F28" i="3"/>
  <c r="B28" i="3"/>
  <c r="F27" i="3"/>
  <c r="B27" i="3"/>
  <c r="F26" i="3"/>
  <c r="B26" i="3"/>
  <c r="F25" i="3"/>
  <c r="B25" i="3"/>
  <c r="F24" i="3"/>
  <c r="B24" i="3"/>
  <c r="F23" i="3"/>
  <c r="B23" i="3"/>
  <c r="K51" i="3" s="1"/>
  <c r="F22" i="3"/>
  <c r="B22" i="3"/>
  <c r="F21" i="3"/>
  <c r="B21" i="3"/>
  <c r="F20" i="3"/>
  <c r="B20" i="3"/>
  <c r="F19" i="3"/>
  <c r="B19" i="3"/>
  <c r="F18" i="3"/>
  <c r="B18" i="3"/>
  <c r="K24" i="3" s="1"/>
  <c r="M17" i="3"/>
  <c r="E17" i="3"/>
  <c r="CB58" i="2" a="1"/>
  <c r="D58" i="2"/>
  <c r="C58" i="2"/>
  <c r="CB57" i="2" a="1"/>
  <c r="D57" i="2"/>
  <c r="C57" i="2"/>
  <c r="CB56" i="2" a="1"/>
  <c r="D56" i="2"/>
  <c r="C56" i="2"/>
  <c r="CB55" i="2" a="1"/>
  <c r="D55" i="2"/>
  <c r="C55" i="2"/>
  <c r="CB54" i="2" a="1"/>
  <c r="D54" i="2"/>
  <c r="C54" i="2"/>
  <c r="CB51" i="2" a="1"/>
  <c r="CB50" i="2" a="1"/>
  <c r="CB49" i="2" a="1"/>
  <c r="CB48" i="2" a="1"/>
  <c r="CB47" i="2" a="1"/>
  <c r="CB46" i="2" a="1"/>
  <c r="CB45" i="2" a="1"/>
  <c r="CB44" i="2" a="1"/>
  <c r="CB43" i="2" a="1"/>
  <c r="CB42" i="2" a="1"/>
  <c r="CB41" i="2" a="1"/>
  <c r="CB40" i="2" a="1"/>
  <c r="CB39" i="2" a="1"/>
  <c r="CB38" i="2" a="1"/>
  <c r="CB37" i="2" a="1"/>
  <c r="CB36" i="2" a="1"/>
  <c r="CB35" i="2" a="1"/>
  <c r="CB34" i="2" a="1"/>
  <c r="CB33" i="2" a="1"/>
  <c r="CB32" i="2" a="1"/>
  <c r="CB31" i="2" a="1"/>
  <c r="CB30" i="2" a="1"/>
  <c r="CB29" i="2" a="1"/>
  <c r="CB28" i="2" a="1"/>
  <c r="CB27" i="2" a="1"/>
  <c r="CB26" i="2" a="1"/>
  <c r="CB25" i="2" a="1"/>
  <c r="CB24" i="2" a="1"/>
  <c r="CB23" i="2" a="1"/>
  <c r="CB22" i="2" a="1"/>
  <c r="CB21" i="2" a="1"/>
  <c r="CB20" i="2" a="1"/>
  <c r="CB19" i="2" a="1"/>
  <c r="CB18" i="2" a="1"/>
  <c r="AN15" i="2"/>
  <c r="AM15" i="2"/>
  <c r="AL15" i="2"/>
  <c r="AO15" i="2" s="1"/>
  <c r="AK15" i="2"/>
  <c r="AJ15" i="2"/>
  <c r="AI15" i="2"/>
  <c r="AH15" i="2"/>
  <c r="AG15" i="2"/>
  <c r="AF15" i="2"/>
  <c r="AE15" i="2"/>
  <c r="L15" i="1"/>
  <c r="CL26" i="2"/>
  <c r="K44" i="3" l="1"/>
  <c r="K45" i="3"/>
  <c r="K29" i="3"/>
  <c r="K50" i="3"/>
  <c r="K18" i="3"/>
  <c r="K34" i="3"/>
  <c r="K39" i="3"/>
  <c r="K23" i="3"/>
  <c r="K49" i="3"/>
  <c r="K38" i="3"/>
  <c r="K22" i="3"/>
  <c r="K43" i="3"/>
  <c r="K27" i="3"/>
  <c r="K48" i="3"/>
  <c r="K32" i="3"/>
  <c r="K26" i="3"/>
  <c r="K36" i="3"/>
  <c r="K37" i="3"/>
  <c r="K21" i="3"/>
  <c r="K42" i="3"/>
  <c r="K47" i="3"/>
  <c r="K31" i="3"/>
  <c r="K20" i="3"/>
  <c r="K41" i="3"/>
  <c r="K25" i="3"/>
  <c r="K30" i="3"/>
  <c r="K46" i="3"/>
  <c r="K33" i="3"/>
  <c r="K40" i="3"/>
  <c r="K19" i="3"/>
  <c r="K28" i="3"/>
  <c r="K35" i="3"/>
  <c r="CJ47" i="2"/>
  <c r="CI37" i="2"/>
  <c r="CD26" i="2"/>
  <c r="CD42" i="2"/>
  <c r="CF31" i="2"/>
  <c r="CH27" i="2"/>
  <c r="CC34" i="2"/>
  <c r="CL44" i="2"/>
  <c r="CG21" i="2"/>
  <c r="CF30" i="2"/>
  <c r="CK45" i="2"/>
  <c r="CK19" i="2"/>
  <c r="CF56" i="2"/>
  <c r="CJ36" i="2"/>
  <c r="CB48" i="2"/>
  <c r="CH55" i="2"/>
  <c r="CK49" i="2"/>
  <c r="CC56" i="2"/>
  <c r="CL34" i="2"/>
  <c r="CB44" i="2"/>
  <c r="CF24" i="2"/>
  <c r="CB39" i="2"/>
  <c r="CJ46" i="2"/>
  <c r="CE40" i="2"/>
  <c r="CL41" i="2"/>
  <c r="CD40" i="2"/>
  <c r="CK26" i="2"/>
  <c r="CH39" i="2"/>
  <c r="CB33" i="2"/>
  <c r="CK23" i="2"/>
  <c r="CI41" i="2"/>
  <c r="CC25" i="2"/>
  <c r="CK42" i="2"/>
  <c r="CE45" i="2"/>
  <c r="CH19" i="2"/>
  <c r="CE25" i="2"/>
  <c r="CF39" i="2"/>
  <c r="CG43" i="2"/>
  <c r="CG54" i="2"/>
  <c r="CD28" i="2"/>
  <c r="CB23" i="2"/>
  <c r="CK32" i="2"/>
  <c r="CG37" i="2"/>
  <c r="CE47" i="2"/>
  <c r="CB50" i="2"/>
  <c r="CL24" i="2"/>
  <c r="CF40" i="2"/>
  <c r="CI23" i="2"/>
  <c r="CC55" i="2"/>
  <c r="CF55" i="2"/>
  <c r="CE24" i="2"/>
  <c r="CF45" i="2"/>
  <c r="CJ40" i="2"/>
  <c r="CC20" i="2"/>
  <c r="CB31" i="2"/>
  <c r="CH18" i="2"/>
  <c r="CI31" i="2"/>
  <c r="CB46" i="2"/>
  <c r="CC28" i="2"/>
  <c r="CB43" i="2"/>
  <c r="CC36" i="2"/>
  <c r="CL49" i="2"/>
  <c r="CI58" i="2"/>
  <c r="CF46" i="2"/>
  <c r="CH33" i="2"/>
  <c r="CE18" i="2"/>
  <c r="CG39" i="2"/>
  <c r="CD43" i="2"/>
  <c r="CE23" i="2"/>
  <c r="CG18" i="2"/>
  <c r="CH30" i="2"/>
  <c r="CI40" i="2"/>
  <c r="CG31" i="2"/>
  <c r="CD35" i="2"/>
  <c r="CI30" i="2"/>
  <c r="CL57" i="2"/>
  <c r="CL39" i="2"/>
  <c r="CH48" i="2"/>
  <c r="CE26" i="2"/>
  <c r="CJ35" i="2"/>
  <c r="CJ44" i="2"/>
  <c r="CE46" i="2"/>
  <c r="CH58" i="2"/>
  <c r="CK48" i="2"/>
  <c r="CJ24" i="2"/>
  <c r="CK27" i="2"/>
  <c r="CF23" i="2"/>
  <c r="CG55" i="2"/>
  <c r="CF21" i="2"/>
  <c r="CL46" i="2"/>
  <c r="CH47" i="2"/>
  <c r="CK20" i="2"/>
  <c r="CG36" i="2"/>
  <c r="CB25" i="2"/>
  <c r="CK21" i="2"/>
  <c r="CE29" i="2"/>
  <c r="CC30" i="2"/>
  <c r="CB18" i="2"/>
  <c r="CG33" i="2"/>
  <c r="CD21" i="2"/>
  <c r="CL35" i="2"/>
  <c r="CH42" i="2"/>
  <c r="CK51" i="2"/>
  <c r="CD41" i="2"/>
  <c r="CL20" i="2"/>
  <c r="CJ48" i="2"/>
  <c r="CG26" i="2"/>
  <c r="CI39" i="2"/>
  <c r="CB30" i="2"/>
  <c r="CK38" i="2"/>
  <c r="CD20" i="2"/>
  <c r="CB42" i="2"/>
  <c r="CC39" i="2"/>
  <c r="CC41" i="2"/>
  <c r="CK24" i="2"/>
  <c r="CI21" i="2"/>
  <c r="CJ34" i="2"/>
  <c r="CI28" i="2"/>
  <c r="CH54" i="2"/>
  <c r="CJ19" i="2"/>
  <c r="CG20" i="2"/>
  <c r="CD24" i="2"/>
  <c r="CK47" i="2"/>
  <c r="CK44" i="2"/>
  <c r="CG44" i="2"/>
  <c r="CI43" i="2"/>
  <c r="CJ49" i="2"/>
  <c r="CG24" i="2"/>
  <c r="CF47" i="2"/>
  <c r="CH24" i="2"/>
  <c r="CD34" i="2"/>
  <c r="CF37" i="2"/>
  <c r="CI46" i="2"/>
  <c r="CB58" i="2"/>
  <c r="CD44" i="2"/>
  <c r="CL19" i="2"/>
  <c r="CL50" i="2"/>
  <c r="CI26" i="2"/>
  <c r="CD45" i="2"/>
  <c r="CL37" i="2"/>
  <c r="CH51" i="2"/>
  <c r="CB35" i="2"/>
  <c r="CE44" i="2"/>
  <c r="CH44" i="2"/>
  <c r="CB56" i="2"/>
  <c r="CI34" i="2"/>
  <c r="CC24" i="2"/>
  <c r="CI33" i="2"/>
  <c r="CK35" i="2"/>
  <c r="CE42" i="2"/>
  <c r="CF42" i="2"/>
  <c r="CD54" i="2"/>
  <c r="CJ21" i="2"/>
  <c r="CB22" i="2"/>
  <c r="CF35" i="2"/>
  <c r="CG57" i="2"/>
  <c r="CI45" i="2"/>
  <c r="CI56" i="2"/>
  <c r="CG56" i="2"/>
  <c r="CB36" i="2"/>
  <c r="CJ50" i="2"/>
  <c r="CH41" i="2"/>
  <c r="CK25" i="2"/>
  <c r="CH57" i="2"/>
  <c r="CG19" i="2"/>
  <c r="CF18" i="2"/>
  <c r="CB41" i="2"/>
  <c r="CK18" i="2"/>
  <c r="CJ39" i="2"/>
  <c r="CD46" i="2"/>
  <c r="CF58" i="2"/>
  <c r="CI36" i="2"/>
  <c r="CE41" i="2"/>
  <c r="CH21" i="2"/>
  <c r="CG32" i="2"/>
  <c r="CE21" i="2"/>
  <c r="CJ28" i="2"/>
  <c r="CG49" i="2"/>
  <c r="CL40" i="2"/>
  <c r="CE48" i="2"/>
  <c r="CI19" i="2"/>
  <c r="CK46" i="2"/>
  <c r="CF32" i="2"/>
  <c r="CL29" i="2"/>
  <c r="CE43" i="2"/>
  <c r="CJ20" i="2"/>
  <c r="CB28" i="2"/>
  <c r="CC33" i="2"/>
  <c r="CB37" i="2"/>
  <c r="CD48" i="2"/>
  <c r="CL55" i="2"/>
  <c r="CC40" i="2"/>
  <c r="CG38" i="2"/>
  <c r="CG25" i="2"/>
  <c r="CC23" i="2"/>
  <c r="CJ18" i="2"/>
  <c r="CG51" i="2"/>
  <c r="CC58" i="2"/>
  <c r="CD25" i="2"/>
  <c r="CL21" i="2"/>
  <c r="CB29" i="2"/>
  <c r="CD29" i="2"/>
  <c r="CL18" i="2"/>
  <c r="CI20" i="2"/>
  <c r="CF34" i="2"/>
  <c r="CF27" i="2"/>
  <c r="CL51" i="2"/>
  <c r="CD50" i="2"/>
  <c r="CH26" i="2"/>
  <c r="CH46" i="2"/>
  <c r="CD47" i="2"/>
  <c r="CK40" i="2"/>
  <c r="CJ33" i="2"/>
  <c r="CH45" i="2"/>
  <c r="CG23" i="2"/>
  <c r="CC18" i="2"/>
  <c r="CJ42" i="2"/>
  <c r="CK22" i="2"/>
  <c r="CG42" i="2"/>
  <c r="CC42" i="2"/>
  <c r="CG45" i="2"/>
  <c r="CC46" i="2"/>
  <c r="CB21" i="2"/>
  <c r="CB45" i="2"/>
  <c r="CB19" i="2"/>
  <c r="CJ51" i="2"/>
  <c r="CH38" i="2"/>
  <c r="CF33" i="2"/>
  <c r="CF49" i="2"/>
  <c r="CK30" i="2"/>
  <c r="CF50" i="2"/>
  <c r="CI24" i="2"/>
  <c r="CG50" i="2"/>
  <c r="CE57" i="2"/>
  <c r="CI27" i="2"/>
  <c r="CC21" i="2"/>
  <c r="CJ23" i="2"/>
  <c r="CJ29" i="2"/>
  <c r="CE56" i="2"/>
  <c r="CL25" i="2"/>
  <c r="CC47" i="2"/>
  <c r="CL23" i="2"/>
  <c r="CH36" i="2"/>
  <c r="CL48" i="2"/>
  <c r="CI47" i="2"/>
  <c r="CF54" i="2"/>
  <c r="CF19" i="2"/>
  <c r="CH40" i="2"/>
  <c r="CF36" i="2"/>
  <c r="CK39" i="2"/>
  <c r="CL45" i="2"/>
  <c r="CD27" i="2"/>
  <c r="CE49" i="2"/>
  <c r="CI55" i="2"/>
  <c r="CJ38" i="2"/>
  <c r="CJ43" i="2"/>
  <c r="CK28" i="2"/>
  <c r="CD39" i="2"/>
  <c r="CF51" i="2"/>
  <c r="CC19" i="2"/>
  <c r="CK43" i="2"/>
  <c r="CG46" i="2"/>
  <c r="CH23" i="2"/>
  <c r="CF57" i="2"/>
  <c r="CK58" i="2"/>
  <c r="CG48" i="2"/>
  <c r="CF41" i="2"/>
  <c r="CE33" i="2"/>
  <c r="CD31" i="2"/>
  <c r="CF48" i="2"/>
  <c r="CD22" i="2"/>
  <c r="CJ58" i="2"/>
  <c r="CF22" i="2"/>
  <c r="CI57" i="2"/>
  <c r="CB26" i="2"/>
  <c r="CJ31" i="2"/>
  <c r="CH37" i="2"/>
  <c r="CB27" i="2"/>
  <c r="CG29" i="2"/>
  <c r="CC35" i="2"/>
  <c r="CI35" i="2"/>
  <c r="CE19" i="2"/>
  <c r="CE28" i="2"/>
  <c r="CD33" i="2"/>
  <c r="CJ22" i="2"/>
  <c r="CB40" i="2"/>
  <c r="CG40" i="2"/>
  <c r="CC49" i="2"/>
  <c r="CE22" i="2"/>
  <c r="CB32" i="2"/>
  <c r="CJ41" i="2"/>
  <c r="CC27" i="2"/>
  <c r="CB54" i="2"/>
  <c r="CC54" i="2"/>
  <c r="CL43" i="2"/>
  <c r="CB51" i="2"/>
  <c r="CF28" i="2"/>
  <c r="CC48" i="2"/>
  <c r="CH49" i="2"/>
  <c r="CB34" i="2"/>
  <c r="CD51" i="2"/>
  <c r="CI29" i="2"/>
  <c r="CE36" i="2"/>
  <c r="CL33" i="2"/>
  <c r="CJ26" i="2"/>
  <c r="CE32" i="2"/>
  <c r="CE54" i="2"/>
  <c r="CG22" i="2"/>
  <c r="CE58" i="2"/>
  <c r="CI51" i="2"/>
  <c r="CL56" i="2"/>
  <c r="CL30" i="2"/>
  <c r="CC38" i="2"/>
  <c r="CK34" i="2"/>
  <c r="CK56" i="2"/>
  <c r="CE50" i="2"/>
  <c r="CH31" i="2"/>
  <c r="CB57" i="2"/>
  <c r="CE34" i="2"/>
  <c r="CF20" i="2"/>
  <c r="CE20" i="2"/>
  <c r="CJ27" i="2"/>
  <c r="CB49" i="2"/>
  <c r="CI18" i="2"/>
  <c r="CH43" i="2"/>
  <c r="CD55" i="2"/>
  <c r="CJ25" i="2"/>
  <c r="CD49" i="2"/>
  <c r="CB38" i="2"/>
  <c r="CH25" i="2"/>
  <c r="CE30" i="2"/>
  <c r="CE31" i="2"/>
  <c r="CG28" i="2"/>
  <c r="CC29" i="2"/>
  <c r="CE55" i="2"/>
  <c r="CH20" i="2"/>
  <c r="CI32" i="2"/>
  <c r="CJ45" i="2"/>
  <c r="CD30" i="2"/>
  <c r="CJ56" i="2"/>
  <c r="CB24" i="2"/>
  <c r="CI48" i="2"/>
  <c r="CD57" i="2"/>
  <c r="CC31" i="2"/>
  <c r="CJ32" i="2"/>
  <c r="CE37" i="2"/>
  <c r="CC22" i="2"/>
  <c r="CL58" i="2"/>
  <c r="CE39" i="2"/>
  <c r="CC51" i="2"/>
  <c r="CE51" i="2"/>
  <c r="CI42" i="2"/>
  <c r="CH22" i="2"/>
  <c r="CH29" i="2"/>
  <c r="CF26" i="2"/>
  <c r="CC44" i="2"/>
  <c r="CH50" i="2"/>
  <c r="CG58" i="2"/>
  <c r="CJ37" i="2"/>
  <c r="CL31" i="2"/>
  <c r="CG47" i="2"/>
  <c r="CB55" i="2"/>
  <c r="CC45" i="2"/>
  <c r="CJ30" i="2"/>
  <c r="CD23" i="2"/>
  <c r="CI22" i="2"/>
  <c r="CF43" i="2"/>
  <c r="CE38" i="2"/>
  <c r="CL54" i="2"/>
  <c r="CI50" i="2"/>
  <c r="CD36" i="2"/>
  <c r="CL47" i="2"/>
  <c r="CB47" i="2"/>
  <c r="CK55" i="2"/>
  <c r="CL32" i="2"/>
  <c r="CC32" i="2"/>
  <c r="CL22" i="2"/>
  <c r="CF38" i="2"/>
  <c r="CF25" i="2"/>
  <c r="CK29" i="2"/>
  <c r="CK37" i="2"/>
  <c r="CC43" i="2"/>
  <c r="CF44" i="2"/>
  <c r="CI25" i="2"/>
  <c r="CC50" i="2"/>
  <c r="CE27" i="2"/>
  <c r="CG27" i="2"/>
  <c r="CL42" i="2"/>
  <c r="CJ57" i="2"/>
  <c r="CC57" i="2"/>
  <c r="CK41" i="2"/>
  <c r="CD19" i="2"/>
  <c r="CG41" i="2"/>
  <c r="CH34" i="2"/>
  <c r="CE35" i="2"/>
  <c r="CG34" i="2"/>
  <c r="CF29" i="2"/>
  <c r="CG35" i="2"/>
  <c r="CD18" i="2"/>
  <c r="CK54" i="2"/>
  <c r="CK57" i="2"/>
  <c r="CC37" i="2"/>
  <c r="CI38" i="2"/>
  <c r="CL38" i="2"/>
  <c r="CL36" i="2"/>
  <c r="CD32" i="2"/>
  <c r="CD56" i="2"/>
  <c r="CK33" i="2"/>
  <c r="CI54" i="2"/>
  <c r="CH32" i="2"/>
  <c r="CL27" i="2"/>
  <c r="CK50" i="2"/>
  <c r="CG30" i="2"/>
  <c r="CC26" i="2"/>
  <c r="CD38" i="2"/>
  <c r="CJ55" i="2"/>
  <c r="CK31" i="2"/>
  <c r="CH56" i="2"/>
  <c r="CI44" i="2"/>
  <c r="CI49" i="2"/>
  <c r="CH35" i="2"/>
  <c r="CD58" i="2"/>
  <c r="CJ54" i="2"/>
  <c r="CL28" i="2"/>
  <c r="CH28" i="2"/>
  <c r="CD37" i="2"/>
  <c r="CB20" i="2"/>
  <c r="CK36" i="2"/>
  <c r="O29" i="2" l="1"/>
  <c r="P29" i="2" s="1"/>
  <c r="E29" i="1" s="1"/>
  <c r="L29" i="1" s="1"/>
  <c r="O35" i="2"/>
  <c r="P35" i="2" s="1"/>
  <c r="E35" i="1" s="1"/>
  <c r="L35" i="1" s="1"/>
  <c r="O33" i="2"/>
  <c r="P33" i="2" s="1"/>
  <c r="E33" i="1" s="1"/>
  <c r="L33" i="1" s="1"/>
  <c r="O58" i="2"/>
  <c r="P58" i="2" s="1"/>
  <c r="E58" i="1" s="1"/>
  <c r="L58" i="1" s="1"/>
  <c r="O43" i="2"/>
  <c r="P43" i="2" s="1"/>
  <c r="E43" i="1" s="1"/>
  <c r="L43" i="1" s="1"/>
  <c r="O39" i="2"/>
  <c r="P39" i="2" s="1"/>
  <c r="E39" i="1" s="1"/>
  <c r="L39" i="1" s="1"/>
  <c r="O42" i="2"/>
  <c r="P42" i="2" s="1"/>
  <c r="E42" i="1" s="1"/>
  <c r="L42" i="1" s="1"/>
  <c r="O18" i="2"/>
  <c r="P18" i="2" s="1"/>
  <c r="E18" i="1" s="1"/>
  <c r="L18" i="1" s="1"/>
  <c r="O49" i="2"/>
  <c r="P49" i="2" s="1"/>
  <c r="E49" i="1" s="1"/>
  <c r="L49" i="1" s="1"/>
  <c r="O41" i="2"/>
  <c r="P41" i="2" s="1"/>
  <c r="E41" i="1" s="1"/>
  <c r="L41" i="1" s="1"/>
  <c r="O44" i="2"/>
  <c r="P44" i="2" s="1"/>
  <c r="E44" i="1" s="1"/>
  <c r="L44" i="1" s="1"/>
  <c r="O31" i="2"/>
  <c r="P31" i="2" s="1"/>
  <c r="E31" i="1" s="1"/>
  <c r="L31" i="1" s="1"/>
  <c r="O57" i="2"/>
  <c r="P57" i="2" s="1"/>
  <c r="E57" i="1" s="1"/>
  <c r="L57" i="1" s="1"/>
  <c r="O23" i="2"/>
  <c r="P23" i="2" s="1"/>
  <c r="E23" i="1" s="1"/>
  <c r="L23" i="1" s="1"/>
  <c r="O28" i="2"/>
  <c r="P28" i="2" s="1"/>
  <c r="E28" i="1" s="1"/>
  <c r="L28" i="1" s="1"/>
  <c r="O25" i="2"/>
  <c r="P25" i="2" s="1"/>
  <c r="E25" i="1" s="1"/>
  <c r="L25" i="1" s="1"/>
  <c r="O26" i="2"/>
  <c r="P26" i="2" s="1"/>
  <c r="E26" i="1" s="1"/>
  <c r="L26" i="1" s="1"/>
  <c r="O34" i="2"/>
  <c r="P34" i="2" s="1"/>
  <c r="E34" i="1" s="1"/>
  <c r="L34" i="1" s="1"/>
  <c r="O56" i="2"/>
  <c r="P56" i="2" s="1"/>
  <c r="E56" i="1" s="1"/>
  <c r="L56" i="1" s="1"/>
  <c r="O55" i="2"/>
  <c r="P55" i="2" s="1"/>
  <c r="E55" i="1" s="1"/>
  <c r="L55" i="1" s="1"/>
  <c r="O48" i="2"/>
  <c r="P48" i="2" s="1"/>
  <c r="E48" i="1" s="1"/>
  <c r="L48" i="1" s="1"/>
  <c r="O20" i="2"/>
  <c r="P20" i="2" s="1"/>
  <c r="E20" i="1" s="1"/>
  <c r="L20" i="1" s="1"/>
  <c r="O36" i="2"/>
  <c r="P36" i="2" s="1"/>
  <c r="E36" i="1" s="1"/>
  <c r="L36" i="1" s="1"/>
  <c r="O51" i="2"/>
  <c r="P51" i="2" s="1"/>
  <c r="E51" i="1" s="1"/>
  <c r="L51" i="1" s="1"/>
  <c r="O50" i="2"/>
  <c r="P50" i="2" s="1"/>
  <c r="E50" i="1" s="1"/>
  <c r="L50" i="1" s="1"/>
  <c r="O27" i="2"/>
  <c r="P27" i="2" s="1"/>
  <c r="E27" i="1" s="1"/>
  <c r="L27" i="1" s="1"/>
  <c r="O46" i="2"/>
  <c r="P46" i="2" s="1"/>
  <c r="E46" i="1" s="1"/>
  <c r="L46" i="1" s="1"/>
  <c r="O54" i="2"/>
  <c r="P54" i="2" s="1"/>
  <c r="E54" i="1" s="1"/>
  <c r="L54" i="1" s="1"/>
  <c r="O19" i="2"/>
  <c r="P19" i="2" s="1"/>
  <c r="E19" i="1" s="1"/>
  <c r="L19" i="1" s="1"/>
  <c r="O45" i="2"/>
  <c r="P45" i="2" s="1"/>
  <c r="E45" i="1" s="1"/>
  <c r="L45" i="1" s="1"/>
  <c r="O22" i="2"/>
  <c r="P22" i="2" s="1"/>
  <c r="E22" i="1" s="1"/>
  <c r="L22" i="1" s="1"/>
  <c r="O30" i="2"/>
  <c r="P30" i="2" s="1"/>
  <c r="E30" i="1" s="1"/>
  <c r="L30" i="1" s="1"/>
  <c r="O32" i="2"/>
  <c r="P32" i="2" s="1"/>
  <c r="E32" i="1" s="1"/>
  <c r="L32" i="1" s="1"/>
  <c r="O21" i="2"/>
  <c r="P21" i="2" s="1"/>
  <c r="E21" i="1" s="1"/>
  <c r="L21" i="1" s="1"/>
  <c r="O38" i="2"/>
  <c r="P38" i="2" s="1"/>
  <c r="E38" i="1" s="1"/>
  <c r="L38" i="1" s="1"/>
  <c r="O37" i="2"/>
  <c r="P37" i="2" s="1"/>
  <c r="E37" i="1" s="1"/>
  <c r="L37" i="1" s="1"/>
  <c r="O47" i="2"/>
  <c r="P47" i="2" s="1"/>
  <c r="E47" i="1" s="1"/>
  <c r="L47" i="1" s="1"/>
  <c r="O40" i="2"/>
  <c r="P40" i="2" s="1"/>
  <c r="E40" i="1" s="1"/>
  <c r="L40" i="1" s="1"/>
  <c r="O24" i="2"/>
  <c r="P24" i="2" s="1"/>
  <c r="E24" i="1" s="1"/>
  <c r="L24" i="1" s="1"/>
  <c r="K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xxx</author>
  </authors>
  <commentList>
    <comment ref="D15" authorId="0" shapeId="0" xr:uid="{00000000-0006-0000-0000-000001000000}">
      <text>
        <r>
          <rPr>
            <sz val="11"/>
            <rFont val="Calibri"/>
            <family val="2"/>
          </rPr>
          <t>For each module component column setup below fill in the % of the overall mark in the corresponding columns to the right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xxx</author>
  </authors>
  <commentList>
    <comment ref="Q17" authorId="0" shapeId="0" xr:uid="{00000000-0006-0000-0100-000001000000}">
      <text>
        <r>
          <rPr>
            <sz val="11"/>
            <rFont val="Calibri"/>
            <family val="2"/>
          </rPr>
          <t>Only enter an AB in this column if the candidate was absent from the written examination</t>
        </r>
      </text>
    </comment>
  </commentList>
</comments>
</file>

<file path=xl/sharedStrings.xml><?xml version="1.0" encoding="utf-8"?>
<sst xmlns="http://schemas.openxmlformats.org/spreadsheetml/2006/main" count="1899" uniqueCount="259">
  <si>
    <t/>
  </si>
  <si>
    <t>EMSHEET</t>
  </si>
  <si>
    <t>Absent</t>
  </si>
  <si>
    <t>WD_KACCM_B [F]</t>
  </si>
  <si>
    <t>Instituid Teicneolaiochta Phortlairge</t>
  </si>
  <si>
    <t>PLEASE NOTE: Assessment Marks are sensitive personal data and therefore covered by GDPR rules. They should be stored safely and securely until handed over for the compilation of marks, while the corrected assessment material should be moved to a designated Exam Base Room.</t>
  </si>
  <si>
    <t>Deferred</t>
  </si>
  <si>
    <t>Functional Programming (PROG-0094)</t>
  </si>
  <si>
    <t>Waterford Institute of Technology</t>
  </si>
  <si>
    <t>Exempt</t>
  </si>
  <si>
    <t>SS</t>
  </si>
  <si>
    <t>May 2026 Examination Session</t>
  </si>
  <si>
    <t>Fail</t>
  </si>
  <si>
    <t>Failed Component</t>
  </si>
  <si>
    <t>SUBJECT MARK SHEET</t>
  </si>
  <si>
    <t>Pass</t>
  </si>
  <si>
    <t>Section Reference</t>
  </si>
  <si>
    <t>Placement Deferred</t>
  </si>
  <si>
    <t>School of Science and Computing</t>
  </si>
  <si>
    <t>30486 - L01</t>
  </si>
  <si>
    <t>Recommended</t>
  </si>
  <si>
    <t xml:space="preserve">00000 - </t>
  </si>
  <si>
    <t>Not Recommended</t>
  </si>
  <si>
    <t>Bachelor of Science (Honours) in App Computing (Common Entry) Year 4</t>
  </si>
  <si>
    <t>Not Recorded</t>
  </si>
  <si>
    <t>Zero</t>
  </si>
  <si>
    <t>Module:</t>
  </si>
  <si>
    <t>Total Students: 34</t>
  </si>
  <si>
    <t>Satisfactory Progress</t>
  </si>
  <si>
    <t>Unsatisfactory Progress</t>
  </si>
  <si>
    <t>Component % Breakdown</t>
  </si>
  <si>
    <t>1</t>
  </si>
  <si>
    <t>2</t>
  </si>
  <si>
    <t>Student No</t>
  </si>
  <si>
    <t>Student Name</t>
  </si>
  <si>
    <t>Written</t>
  </si>
  <si>
    <t>Item 4</t>
  </si>
  <si>
    <t>Item 5</t>
  </si>
  <si>
    <t>Item 6</t>
  </si>
  <si>
    <t>TOTAL</t>
  </si>
  <si>
    <t>Special Grade</t>
  </si>
  <si>
    <t>3</t>
  </si>
  <si>
    <t>W20102008</t>
  </si>
  <si>
    <t>Barron, Davin</t>
  </si>
  <si>
    <t>30486</t>
  </si>
  <si>
    <t>N</t>
  </si>
  <si>
    <t>4</t>
  </si>
  <si>
    <t>W20102006</t>
  </si>
  <si>
    <t>Bennett, Finn</t>
  </si>
  <si>
    <t>5</t>
  </si>
  <si>
    <t>W20102486</t>
  </si>
  <si>
    <t>Bonner, Evan</t>
  </si>
  <si>
    <t>6</t>
  </si>
  <si>
    <t>W20101992</t>
  </si>
  <si>
    <t>Browne, Jessica</t>
  </si>
  <si>
    <t>7</t>
  </si>
  <si>
    <t>W20101456</t>
  </si>
  <si>
    <t>Casey, Jeremiah</t>
  </si>
  <si>
    <t>8</t>
  </si>
  <si>
    <t>W20102506</t>
  </si>
  <si>
    <t>Clarke, Emma</t>
  </si>
  <si>
    <t>9</t>
  </si>
  <si>
    <t>W20102299</t>
  </si>
  <si>
    <t>Cleary, Sinead</t>
  </si>
  <si>
    <t>10</t>
  </si>
  <si>
    <t>W20101841</t>
  </si>
  <si>
    <t>Condon, Tommy</t>
  </si>
  <si>
    <t>11</t>
  </si>
  <si>
    <t>W20101954</t>
  </si>
  <si>
    <t>Costigan-Dooley, Adam</t>
  </si>
  <si>
    <t>12</t>
  </si>
  <si>
    <t>W20102180</t>
  </si>
  <si>
    <t>Cullen, Calum</t>
  </si>
  <si>
    <t>13</t>
  </si>
  <si>
    <t>W20102969</t>
  </si>
  <si>
    <t>Falkowski, Dominik</t>
  </si>
  <si>
    <t>14</t>
  </si>
  <si>
    <t>W20102629</t>
  </si>
  <si>
    <t>Fitzgerald, Paul</t>
  </si>
  <si>
    <t>15</t>
  </si>
  <si>
    <t>W20102427</t>
  </si>
  <si>
    <t>Halley, Jeff</t>
  </si>
  <si>
    <t>16</t>
  </si>
  <si>
    <t>W20102466</t>
  </si>
  <si>
    <t>Heeney, Graham</t>
  </si>
  <si>
    <t>17</t>
  </si>
  <si>
    <t>W20102236</t>
  </si>
  <si>
    <t>Kapusniak, Igor</t>
  </si>
  <si>
    <t>18</t>
  </si>
  <si>
    <t>W20098883</t>
  </si>
  <si>
    <t>Keevers, Brona</t>
  </si>
  <si>
    <t>19</t>
  </si>
  <si>
    <t>W20101947</t>
  </si>
  <si>
    <t>Kelleher, Christopher</t>
  </si>
  <si>
    <t>20</t>
  </si>
  <si>
    <t>W20102588</t>
  </si>
  <si>
    <t>Kenny, Adam</t>
  </si>
  <si>
    <t>21</t>
  </si>
  <si>
    <t>W20103125</t>
  </si>
  <si>
    <t>Lipceanu, George</t>
  </si>
  <si>
    <t>22</t>
  </si>
  <si>
    <t>W20102256</t>
  </si>
  <si>
    <t>Lyster Cummins, Samuel</t>
  </si>
  <si>
    <t>23</t>
  </si>
  <si>
    <t>W20102482</t>
  </si>
  <si>
    <t>Malczuk, Krzysztof</t>
  </si>
  <si>
    <t>24</t>
  </si>
  <si>
    <t>W20098764</t>
  </si>
  <si>
    <t>Mary, Matteo</t>
  </si>
  <si>
    <t>25</t>
  </si>
  <si>
    <t>W20103121</t>
  </si>
  <si>
    <t>Mc Grath, Stephen</t>
  </si>
  <si>
    <t>26</t>
  </si>
  <si>
    <t>W20098619</t>
  </si>
  <si>
    <t>Mikalauskas, Radvydas</t>
  </si>
  <si>
    <t>27</t>
  </si>
  <si>
    <t>W20103495</t>
  </si>
  <si>
    <t>Neary, Ava</t>
  </si>
  <si>
    <t>28</t>
  </si>
  <si>
    <t>W20098583</t>
  </si>
  <si>
    <t>O Connor, Jay</t>
  </si>
  <si>
    <t>29</t>
  </si>
  <si>
    <t>W20098626</t>
  </si>
  <si>
    <t>O Mahony, John</t>
  </si>
  <si>
    <t>30</t>
  </si>
  <si>
    <t>W20101948</t>
  </si>
  <si>
    <t>O'Brien, Daniel</t>
  </si>
  <si>
    <t>31</t>
  </si>
  <si>
    <t>W20102592</t>
  </si>
  <si>
    <t>Power, Shane</t>
  </si>
  <si>
    <t>32</t>
  </si>
  <si>
    <t>W20101977</t>
  </si>
  <si>
    <t>Reilly, Fionn</t>
  </si>
  <si>
    <t>33</t>
  </si>
  <si>
    <t>W20101931</t>
  </si>
  <si>
    <t>Romanowski, Wolfgang</t>
  </si>
  <si>
    <t>34</t>
  </si>
  <si>
    <t>W20103347</t>
  </si>
  <si>
    <t>Thompson, Adam</t>
  </si>
  <si>
    <t>35</t>
  </si>
  <si>
    <t>W20102479</t>
  </si>
  <si>
    <t>Walsh, Robert</t>
  </si>
  <si>
    <t>36</t>
  </si>
  <si>
    <t>W20102420</t>
  </si>
  <si>
    <t>Zaharia, Alan</t>
  </si>
  <si>
    <t>37</t>
  </si>
  <si>
    <t>38</t>
  </si>
  <si>
    <t xml:space="preserve"> *** MISSING</t>
  </si>
  <si>
    <t>STUDENTS ***</t>
  </si>
  <si>
    <t>39</t>
  </si>
  <si>
    <t xml:space="preserve">   --- Missing</t>
  </si>
  <si>
    <t>Student---</t>
  </si>
  <si>
    <t>00000</t>
  </si>
  <si>
    <t>40</t>
  </si>
  <si>
    <t>41</t>
  </si>
  <si>
    <t>42</t>
  </si>
  <si>
    <t>43</t>
  </si>
  <si>
    <t>44</t>
  </si>
  <si>
    <t>45</t>
  </si>
  <si>
    <t>46</t>
  </si>
  <si>
    <t>Comments</t>
  </si>
  <si>
    <t>... use Alt+Enter for new line in the comment box</t>
  </si>
  <si>
    <t>47</t>
  </si>
  <si>
    <t>48</t>
  </si>
  <si>
    <t>49</t>
  </si>
  <si>
    <t>50</t>
  </si>
  <si>
    <t>51</t>
  </si>
  <si>
    <t>52</t>
  </si>
  <si>
    <t>53</t>
  </si>
  <si>
    <t>54</t>
  </si>
  <si>
    <t>55</t>
  </si>
  <si>
    <t>56</t>
  </si>
  <si>
    <t>Grade Entered by (Examiner):</t>
  </si>
  <si>
    <t>DATE:</t>
  </si>
  <si>
    <t>57</t>
  </si>
  <si>
    <t>58</t>
  </si>
  <si>
    <t>59</t>
  </si>
  <si>
    <t>60</t>
  </si>
  <si>
    <t>Calculation checked by:</t>
  </si>
  <si>
    <t>61</t>
  </si>
  <si>
    <t>62</t>
  </si>
  <si>
    <t>Note: '(E)' denotes Exam-Only Students</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</si>
  <si>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</si>
  <si>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</si>
  <si>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</si>
  <si>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</si>
  <si>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</si>
  <si>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</si>
  <si>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</si>
  <si>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</si>
  <si>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</si>
  <si>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</si>
  <si>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</si>
  <si>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</si>
  <si>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</si>
  <si>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</si>
  <si>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</si>
  <si>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</si>
  <si>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</si>
  <si>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</si>
  <si>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</si>
  <si>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</si>
  <si>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</si>
  <si>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</si>
  <si>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</si>
  <si>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</si>
  <si>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</si>
  <si>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</si>
  <si>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</si>
  <si>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</si>
  <si>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</si>
  <si>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</si>
  <si>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</si>
  <si>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</si>
  <si>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</si>
  <si>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</si>
  <si>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</si>
  <si>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</si>
  <si>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</si>
  <si>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</si>
  <si>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AB</t>
  </si>
  <si>
    <t>COMPONENT MARK SHEET</t>
  </si>
  <si>
    <t>Maximum</t>
  </si>
  <si>
    <t>Mark out of</t>
  </si>
  <si>
    <t>0</t>
  </si>
  <si>
    <t>questions</t>
  </si>
  <si>
    <t xml:space="preserve">Compulsory Questions (mark with an X) </t>
  </si>
  <si>
    <t>Q1</t>
  </si>
  <si>
    <t>Q2</t>
  </si>
  <si>
    <t>Q3</t>
  </si>
  <si>
    <t>Q4</t>
  </si>
  <si>
    <t>Q5</t>
  </si>
  <si>
    <t>Q6</t>
  </si>
  <si>
    <t>Q7</t>
  </si>
  <si>
    <t>Q8</t>
  </si>
  <si>
    <t>Q9</t>
  </si>
  <si>
    <t>Q10</t>
  </si>
  <si>
    <t>TOTAL %</t>
  </si>
  <si>
    <t>AB?</t>
  </si>
  <si>
    <t>***MISSING</t>
  </si>
  <si>
    <t>STUDENTS***</t>
  </si>
  <si>
    <t>Grades Entered by (Examiner):</t>
  </si>
  <si>
    <t xml:space="preserve">DATE: </t>
  </si>
  <si>
    <t>Step 1:</t>
  </si>
  <si>
    <t>Paste your results in the red box below - must have student number in first column!</t>
  </si>
  <si>
    <t>Step 3:</t>
  </si>
  <si>
    <t>Select all cells in the orange column and press Ctrl+C to COPY</t>
  </si>
  <si>
    <t>Step 4:</t>
  </si>
  <si>
    <t>Place the cursor in the top cell of the green column, right-click and on the menu click on Paste Special and then choose the first 'Paste Values' option - the '123 with blank clipboard' one</t>
  </si>
  <si>
    <t>Step 2:</t>
  </si>
  <si>
    <t>Check the number of marks on both sides matches up</t>
  </si>
  <si>
    <t>Step 5:</t>
  </si>
  <si>
    <t>Now with the green column still selected, press Ctrl+H to open Find and Replace. Tick 'Match entire cell contents'. Put 0 in the 'Find What' and nothing in the 'Replace With'. Now click 'Replace All'</t>
  </si>
  <si>
    <t>Step 6:</t>
  </si>
  <si>
    <t>Now copy the complete green column and paste this into the desired column in the White or Green worksheet</t>
  </si>
  <si>
    <t xml:space="preserve"> </t>
  </si>
  <si>
    <t>Lab-T-1</t>
  </si>
  <si>
    <t>Lab_T-2</t>
  </si>
  <si>
    <t>ProgAss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</si>
</sst>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
    <numFmt numFmtId="166" formatCode="##0"/>
    <numFmt numFmtId="167" formatCode="###.#"/>
  </numFmts>
  <fonts count="12" x14ac:knownFonts="1">
    <font>
      <sz val="11"/>
      <name val="Calibri"/>
    </font>
    <font>
      <sz val="11"/>
      <color rgb="FFFFFFFF"/>
      <name val="Calibri"/>
      <family val="2"/>
    </font>
    <font>
      <b/>
      <i/>
      <sz val="8"/>
      <name val="Calibri"/>
      <family val="2"/>
    </font>
    <font>
      <b/>
      <sz val="11"/>
      <name val="Calibri"/>
      <family val="2"/>
    </font>
    <font>
      <b/>
      <i/>
      <sz val="11"/>
      <name val="Calibri"/>
      <family val="2"/>
    </font>
    <font>
      <b/>
      <i/>
      <sz val="14"/>
      <name val="Calibri"/>
      <family val="2"/>
    </font>
    <font>
      <b/>
      <sz val="14"/>
      <name val="Calibri"/>
      <family val="2"/>
    </font>
    <font>
      <b/>
      <sz val="10"/>
      <name val="Calibri"/>
      <family val="2"/>
    </font>
    <font>
      <sz val="11"/>
      <color rgb="FFFF0000"/>
      <name val="Calibri"/>
      <family val="2"/>
    </font>
    <font>
      <i/>
      <sz val="11"/>
      <name val="Calibri"/>
      <family val="2"/>
    </font>
    <font>
      <b/>
      <i/>
      <sz val="11"/>
      <name val="Calibri"/>
      <family val="2"/>
    </font>
    <font>
      <sz val="11"/>
      <name val="Calibri"/>
      <family val="2"/>
    </font>
  </fonts>
  <fills count="10">
    <fill>
      <patternFill patternType="none"/>
    </fill>
    <fill>
      <patternFill patternType="gray125"/>
    </fill>
    <fill>
      <patternFill patternType="solid">
        <fgColor rgb="FFC2D69A"/>
      </patternFill>
    </fill>
    <fill>
      <patternFill patternType="solid">
        <fgColor rgb="FFFFFFFF"/>
      </patternFill>
    </fill>
    <fill>
      <patternFill patternType="solid">
        <fgColor rgb="FFB6DDE8"/>
      </patternFill>
    </fill>
    <fill>
      <patternFill patternType="solid">
        <fgColor rgb="FFFFE4C4"/>
      </patternFill>
    </fill>
    <fill>
      <patternFill patternType="solid">
        <fgColor rgb="FFFFE699"/>
      </patternFill>
    </fill>
    <fill>
      <patternFill patternType="solid">
        <fgColor rgb="FFFFA3A3"/>
      </patternFill>
    </fill>
    <fill>
      <patternFill patternType="solid">
        <fgColor rgb="FFF8CBAD"/>
      </patternFill>
    </fill>
    <fill>
      <patternFill patternType="solid">
        <fgColor rgb="FFC6E0B4"/>
      </patternFill>
    </fill>
  </fills>
  <borders count="12">
    <border>
      <left/>
      <right/>
      <top/>
      <bottom/>
      <diagonal/>
    </border>
    <border>
      <left/>
      <right/>
      <top style="thin">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bottom style="dotted">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1">
    <xf numFmtId="0" fontId="0" fillId="0" borderId="0"/>
  </cellStyleXfs>
  <cellXfs count="66">
    <xf numFmtId="0" fontId="0" fillId="0" borderId="0" xfId="0"/>
    <xf numFmtId="0" fontId="0" fillId="2" borderId="0" xfId="0" applyFill="1"/>
    <xf numFmtId="0" fontId="0" fillId="2" borderId="8" xfId="0" applyFill="1" applyBorder="1"/>
    <xf numFmtId="0" fontId="0" fillId="2" borderId="1" xfId="0" applyFill="1" applyBorder="1"/>
    <xf numFmtId="0" fontId="0" fillId="3" borderId="1" xfId="0" applyFill="1" applyBorder="1"/>
    <xf numFmtId="0" fontId="0" fillId="3" borderId="0" xfId="0" applyFill="1"/>
    <xf numFmtId="0" fontId="3" fillId="3" borderId="0" xfId="0" applyFont="1" applyFill="1" applyAlignment="1">
      <alignment horizontal="center"/>
    </xf>
    <xf numFmtId="0" fontId="6" fillId="3" borderId="0" xfId="0" applyFont="1" applyFill="1" applyAlignment="1">
      <alignment horizontal="center"/>
    </xf>
    <xf numFmtId="0" fontId="3" fillId="3" borderId="0" xfId="0" applyFont="1" applyFill="1"/>
    <xf numFmtId="0" fontId="0" fillId="3" borderId="6" xfId="0" applyFill="1" applyBorder="1"/>
    <xf numFmtId="0" fontId="9" fillId="3" borderId="0" xfId="0" applyFont="1" applyFill="1"/>
    <xf numFmtId="0" fontId="0" fillId="3" borderId="0" xfId="0" applyFill="1" applyProtection="1">
      <protection locked="0"/>
    </xf>
    <xf numFmtId="0" fontId="0" fillId="3" borderId="4" xfId="0" applyFill="1" applyBorder="1" applyProtection="1">
      <protection locked="0"/>
    </xf>
    <xf numFmtId="0" fontId="0" fillId="3" borderId="11" xfId="0" applyFill="1" applyBorder="1"/>
    <xf numFmtId="167" fontId="0" fillId="3" borderId="4" xfId="0" applyNumberFormat="1" applyFill="1" applyBorder="1"/>
    <xf numFmtId="0" fontId="3" fillId="3" borderId="0" xfId="0" applyFont="1" applyFill="1" applyProtection="1">
      <protection locked="0"/>
    </xf>
    <xf numFmtId="0" fontId="0" fillId="3" borderId="5" xfId="0" applyFill="1" applyBorder="1"/>
    <xf numFmtId="0" fontId="0" fillId="3" borderId="8" xfId="0" applyFill="1" applyBorder="1"/>
    <xf numFmtId="0" fontId="0" fillId="4" borderId="0" xfId="0" applyFill="1"/>
    <xf numFmtId="0" fontId="0" fillId="4" borderId="8" xfId="0" applyFill="1" applyBorder="1"/>
    <xf numFmtId="0" fontId="3" fillId="4" borderId="8" xfId="0" applyFont="1" applyFill="1" applyBorder="1" applyAlignment="1">
      <alignment horizontal="center"/>
    </xf>
    <xf numFmtId="0" fontId="6" fillId="4" borderId="8" xfId="0" applyFont="1" applyFill="1" applyBorder="1" applyAlignment="1">
      <alignment horizontal="center"/>
    </xf>
    <xf numFmtId="0" fontId="0" fillId="4" borderId="1" xfId="0" applyFill="1" applyBorder="1"/>
    <xf numFmtId="0" fontId="0" fillId="3" borderId="6" xfId="0" applyFill="1" applyBorder="1" applyProtection="1">
      <protection locked="0"/>
    </xf>
    <xf numFmtId="0" fontId="3" fillId="3" borderId="0" xfId="0" applyFont="1" applyFill="1" applyAlignment="1">
      <alignment horizontal="right"/>
    </xf>
    <xf numFmtId="0" fontId="4" fillId="3" borderId="0" xfId="0" applyFont="1" applyFill="1" applyProtection="1">
      <protection locked="0"/>
    </xf>
    <xf numFmtId="0" fontId="0" fillId="3" borderId="7" xfId="0" applyFill="1" applyBorder="1"/>
    <xf numFmtId="0" fontId="0" fillId="3" borderId="9" xfId="0" applyFill="1" applyBorder="1"/>
    <xf numFmtId="166" fontId="0" fillId="3" borderId="4" xfId="0" applyNumberFormat="1" applyFill="1" applyBorder="1"/>
    <xf numFmtId="0" fontId="0" fillId="3" borderId="10" xfId="0" applyFill="1" applyBorder="1"/>
    <xf numFmtId="165" fontId="0" fillId="5" borderId="4" xfId="0" applyNumberFormat="1" applyFill="1" applyBorder="1" applyProtection="1">
      <protection locked="0"/>
    </xf>
    <xf numFmtId="0" fontId="3" fillId="5" borderId="4" xfId="0" applyFont="1" applyFill="1" applyBorder="1" applyAlignment="1" applyProtection="1">
      <alignment horizontal="center"/>
      <protection locked="0"/>
    </xf>
    <xf numFmtId="0" fontId="0" fillId="5" borderId="4" xfId="0" applyFill="1" applyBorder="1" applyProtection="1">
      <protection locked="0"/>
    </xf>
    <xf numFmtId="0" fontId="0" fillId="5" borderId="4" xfId="0" applyFill="1" applyBorder="1"/>
    <xf numFmtId="0" fontId="0" fillId="6" borderId="0" xfId="0" applyFill="1"/>
    <xf numFmtId="0" fontId="4" fillId="3" borderId="0" xfId="0" applyFont="1" applyFill="1"/>
    <xf numFmtId="0" fontId="0" fillId="3" borderId="2" xfId="0" applyFill="1" applyBorder="1"/>
    <xf numFmtId="0" fontId="1" fillId="3" borderId="7" xfId="0" applyFont="1" applyFill="1" applyBorder="1"/>
    <xf numFmtId="164" fontId="0" fillId="3" borderId="8" xfId="0" applyNumberFormat="1" applyFill="1" applyBorder="1" applyAlignment="1">
      <alignment horizontal="center"/>
    </xf>
    <xf numFmtId="0" fontId="0" fillId="7" borderId="4" xfId="0" applyFill="1" applyBorder="1" applyProtection="1">
      <protection locked="0"/>
    </xf>
    <xf numFmtId="0" fontId="0" fillId="8" borderId="4" xfId="0" applyFill="1" applyBorder="1"/>
    <xf numFmtId="0" fontId="0" fillId="9" borderId="4" xfId="0" applyFill="1" applyBorder="1" applyProtection="1">
      <protection locked="0"/>
    </xf>
    <xf numFmtId="0" fontId="10" fillId="3" borderId="0" xfId="0" applyFont="1" applyFill="1" applyProtection="1">
      <protection locked="0"/>
    </xf>
    <xf numFmtId="0" fontId="0" fillId="5" borderId="11" xfId="0" applyFill="1" applyBorder="1" applyProtection="1">
      <protection locked="0"/>
    </xf>
    <xf numFmtId="0" fontId="0" fillId="3" borderId="11" xfId="0" applyFill="1" applyBorder="1"/>
    <xf numFmtId="0" fontId="3" fillId="3" borderId="0" xfId="0" applyFont="1" applyFill="1" applyAlignment="1">
      <alignment horizontal="right"/>
    </xf>
    <xf numFmtId="0" fontId="3" fillId="3" borderId="0" xfId="0" applyFont="1" applyFill="1" applyAlignment="1" applyProtection="1">
      <alignment horizontal="right"/>
      <protection locked="0"/>
    </xf>
    <xf numFmtId="0" fontId="0" fillId="3" borderId="4" xfId="0" applyFill="1" applyBorder="1" applyAlignment="1" applyProtection="1">
      <alignment vertical="top" wrapText="1"/>
      <protection locked="0"/>
    </xf>
    <xf numFmtId="0" fontId="0" fillId="3" borderId="4" xfId="0" applyFill="1" applyBorder="1"/>
    <xf numFmtId="0" fontId="0" fillId="3" borderId="11" xfId="0" applyFill="1" applyBorder="1" applyProtection="1">
      <protection locked="0"/>
    </xf>
    <xf numFmtId="0" fontId="7" fillId="3" borderId="3" xfId="0" applyFont="1" applyFill="1" applyBorder="1"/>
    <xf numFmtId="0" fontId="3" fillId="3" borderId="3" xfId="0" applyFont="1" applyFill="1" applyBorder="1"/>
    <xf numFmtId="0" fontId="3" fillId="3" borderId="0" xfId="0" applyFont="1" applyFill="1"/>
    <xf numFmtId="0" fontId="8" fillId="3" borderId="0" xfId="0" applyFont="1" applyFill="1"/>
    <xf numFmtId="0" fontId="0" fillId="3" borderId="0" xfId="0" applyFill="1"/>
    <xf numFmtId="0" fontId="3" fillId="3" borderId="0" xfId="0" applyFont="1" applyFill="1" applyAlignment="1">
      <alignment horizontal="center"/>
    </xf>
    <xf numFmtId="0" fontId="2" fillId="3" borderId="0" xfId="0" applyFont="1" applyFill="1" applyAlignment="1">
      <alignment horizontal="center" vertical="top" wrapText="1"/>
    </xf>
    <xf numFmtId="0" fontId="4" fillId="3" borderId="0" xfId="0" applyFont="1" applyFill="1" applyAlignment="1">
      <alignment horizontal="center" vertical="top" wrapText="1"/>
    </xf>
    <xf numFmtId="0" fontId="5" fillId="3" borderId="0" xfId="0" applyFont="1" applyFill="1" applyAlignment="1">
      <alignment horizontal="center" vertical="top" wrapText="1"/>
    </xf>
    <xf numFmtId="0" fontId="6" fillId="3" borderId="0" xfId="0" applyFont="1" applyFill="1" applyAlignment="1">
      <alignment horizontal="center"/>
    </xf>
    <xf numFmtId="0" fontId="3" fillId="3" borderId="0" xfId="0" applyFont="1" applyFill="1" applyAlignment="1">
      <alignment horizontal="left"/>
    </xf>
    <xf numFmtId="0" fontId="4" fillId="3" borderId="0" xfId="0" applyFont="1" applyFill="1" applyAlignment="1">
      <alignment horizontal="right"/>
    </xf>
    <xf numFmtId="0" fontId="9" fillId="3" borderId="0" xfId="0" applyFont="1" applyFill="1" applyAlignment="1">
      <alignment vertical="top" wrapText="1"/>
    </xf>
    <xf numFmtId="0" fontId="0" fillId="3" borderId="0" xfId="0" applyFill="1" applyAlignment="1">
      <alignment vertical="top" wrapText="1"/>
    </xf>
    <xf numFmtId="0" fontId="9" fillId="3" borderId="0" xfId="0" applyFont="1" applyFill="1" applyAlignment="1">
      <alignment wrapText="1"/>
    </xf>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59"/>
  <sheetViews>
    <sheetView showGridLines="0" tabSelected="1" topLeftCell="B17" zoomScale="144" workbookViewId="0">
      <selection activeCell="I51" sqref="I51"/>
    </sheetView>
  </sheetViews>
  <sheetFormatPr baseColWidth="10" defaultColWidth="8.83203125" defaultRowHeight="15" x14ac:dyDescent="0.2"/>
  <cols>
    <col min="1" max="1" width="10" customWidth="1"/>
    <col min="2" max="2" width="5" customWidth="1"/>
    <col min="3" max="3" width="12" customWidth="1"/>
    <col min="4" max="4" width="25" customWidth="1"/>
    <col min="5" max="11" width="8" customWidth="1"/>
    <col min="12" max="12" width="10" customWidth="1"/>
    <col min="13" max="13" width="15" customWidth="1"/>
    <col min="15" max="17" width="9.1640625" hidden="1" customWidth="1"/>
  </cols>
  <sheetData>
    <row r="1" spans="1:80" x14ac:dyDescent="0.2">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CA1" t="s">
        <v>0</v>
      </c>
      <c r="CB1" t="s">
        <v>1</v>
      </c>
    </row>
    <row r="2" spans="1:80" x14ac:dyDescent="0.2">
      <c r="A2" s="19"/>
      <c r="B2" s="4"/>
      <c r="C2" s="4"/>
      <c r="D2" s="4"/>
      <c r="E2" s="4"/>
      <c r="F2" s="4"/>
      <c r="G2" s="4"/>
      <c r="H2" s="4"/>
      <c r="I2" s="4"/>
      <c r="J2" s="4"/>
      <c r="K2" s="4"/>
      <c r="L2" s="4"/>
      <c r="M2" s="4"/>
      <c r="N2" s="16"/>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CA2" t="s">
        <v>2</v>
      </c>
      <c r="CB2" t="s">
        <v>3</v>
      </c>
    </row>
    <row r="3" spans="1:80" x14ac:dyDescent="0.2">
      <c r="A3" s="20"/>
      <c r="B3" s="6"/>
      <c r="C3" s="6"/>
      <c r="D3" s="6"/>
      <c r="E3" s="55" t="s">
        <v>4</v>
      </c>
      <c r="F3" s="55" t="s">
        <v>4</v>
      </c>
      <c r="G3" s="55" t="s">
        <v>4</v>
      </c>
      <c r="H3" s="55" t="s">
        <v>4</v>
      </c>
      <c r="I3" s="55" t="s">
        <v>4</v>
      </c>
      <c r="J3" s="55" t="s">
        <v>4</v>
      </c>
      <c r="K3" s="56" t="s">
        <v>5</v>
      </c>
      <c r="L3" s="56" t="s">
        <v>5</v>
      </c>
      <c r="M3" s="56" t="s">
        <v>5</v>
      </c>
      <c r="N3" s="17"/>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CA3" t="s">
        <v>6</v>
      </c>
      <c r="CB3" t="s">
        <v>7</v>
      </c>
    </row>
    <row r="4" spans="1:80" x14ac:dyDescent="0.2">
      <c r="A4" s="20"/>
      <c r="B4" s="6"/>
      <c r="C4" s="6"/>
      <c r="D4" s="6"/>
      <c r="E4" s="55" t="s">
        <v>8</v>
      </c>
      <c r="F4" s="55" t="s">
        <v>8</v>
      </c>
      <c r="G4" s="55" t="s">
        <v>8</v>
      </c>
      <c r="H4" s="55" t="s">
        <v>8</v>
      </c>
      <c r="I4" s="55" t="s">
        <v>8</v>
      </c>
      <c r="J4" s="55" t="s">
        <v>8</v>
      </c>
      <c r="K4" s="57" t="s">
        <v>5</v>
      </c>
      <c r="L4" s="56" t="s">
        <v>5</v>
      </c>
      <c r="M4" s="56" t="s">
        <v>5</v>
      </c>
      <c r="N4" s="17"/>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CA4" t="s">
        <v>9</v>
      </c>
      <c r="CB4" t="s">
        <v>10</v>
      </c>
    </row>
    <row r="5" spans="1:80" ht="19" x14ac:dyDescent="0.25">
      <c r="A5" s="21"/>
      <c r="B5" s="7"/>
      <c r="C5" s="7"/>
      <c r="D5" s="7"/>
      <c r="E5" s="59" t="s">
        <v>11</v>
      </c>
      <c r="F5" s="59" t="s">
        <v>11</v>
      </c>
      <c r="G5" s="59" t="s">
        <v>11</v>
      </c>
      <c r="H5" s="59" t="s">
        <v>11</v>
      </c>
      <c r="I5" s="59" t="s">
        <v>11</v>
      </c>
      <c r="J5" s="59" t="s">
        <v>11</v>
      </c>
      <c r="K5" s="58" t="s">
        <v>5</v>
      </c>
      <c r="L5" s="56" t="s">
        <v>5</v>
      </c>
      <c r="M5" s="56" t="s">
        <v>5</v>
      </c>
      <c r="N5" s="17"/>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CA5" t="s">
        <v>12</v>
      </c>
    </row>
    <row r="6" spans="1:80" x14ac:dyDescent="0.2">
      <c r="A6" s="19"/>
      <c r="B6" s="5"/>
      <c r="C6" s="5"/>
      <c r="D6" s="5"/>
      <c r="E6" s="5"/>
      <c r="F6" s="5"/>
      <c r="G6" s="5"/>
      <c r="H6" s="5"/>
      <c r="I6" s="5"/>
      <c r="J6" s="5"/>
      <c r="K6" s="56" t="s">
        <v>5</v>
      </c>
      <c r="L6" s="56" t="s">
        <v>5</v>
      </c>
      <c r="M6" s="56" t="s">
        <v>5</v>
      </c>
      <c r="N6" s="17"/>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CA6" t="s">
        <v>13</v>
      </c>
    </row>
    <row r="7" spans="1:80" ht="19" x14ac:dyDescent="0.25">
      <c r="A7" s="21"/>
      <c r="B7" s="7"/>
      <c r="C7" s="7"/>
      <c r="D7" s="7"/>
      <c r="E7" s="59" t="s">
        <v>14</v>
      </c>
      <c r="F7" s="59" t="s">
        <v>14</v>
      </c>
      <c r="G7" s="59" t="s">
        <v>14</v>
      </c>
      <c r="H7" s="59" t="s">
        <v>14</v>
      </c>
      <c r="I7" s="59" t="s">
        <v>14</v>
      </c>
      <c r="J7" s="59" t="s">
        <v>14</v>
      </c>
      <c r="K7" s="58" t="s">
        <v>5</v>
      </c>
      <c r="L7" s="56" t="s">
        <v>5</v>
      </c>
      <c r="M7" s="56" t="s">
        <v>5</v>
      </c>
      <c r="N7" s="17"/>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CA7" t="s">
        <v>15</v>
      </c>
    </row>
    <row r="8" spans="1:80" x14ac:dyDescent="0.2">
      <c r="A8" s="19"/>
      <c r="B8" s="5"/>
      <c r="C8" s="5"/>
      <c r="D8" s="5"/>
      <c r="E8" s="5"/>
      <c r="F8" s="5"/>
      <c r="G8" s="5"/>
      <c r="H8" s="5"/>
      <c r="I8" s="5"/>
      <c r="J8" s="5"/>
      <c r="K8" s="5"/>
      <c r="L8" s="50" t="s">
        <v>16</v>
      </c>
      <c r="M8" s="51"/>
      <c r="N8" s="17"/>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CA8" t="s">
        <v>17</v>
      </c>
    </row>
    <row r="9" spans="1:80" x14ac:dyDescent="0.2">
      <c r="A9" s="19"/>
      <c r="B9" s="5"/>
      <c r="C9" s="52" t="s">
        <v>18</v>
      </c>
      <c r="D9" s="52" t="s">
        <v>18</v>
      </c>
      <c r="E9" s="5"/>
      <c r="F9" s="5"/>
      <c r="G9" s="5"/>
      <c r="H9" s="5"/>
      <c r="I9" s="5"/>
      <c r="J9" s="5"/>
      <c r="K9" s="5"/>
      <c r="L9" s="26" t="s">
        <v>19</v>
      </c>
      <c r="M9" s="17"/>
      <c r="N9" s="17"/>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CA9" t="s">
        <v>20</v>
      </c>
    </row>
    <row r="10" spans="1:80" x14ac:dyDescent="0.2">
      <c r="A10" s="19"/>
      <c r="B10" s="5"/>
      <c r="C10" s="5"/>
      <c r="D10" s="5"/>
      <c r="E10" s="5"/>
      <c r="F10" s="5"/>
      <c r="G10" s="5"/>
      <c r="H10" s="5"/>
      <c r="I10" s="5"/>
      <c r="J10" s="5"/>
      <c r="K10" s="5"/>
      <c r="L10" s="27" t="s">
        <v>21</v>
      </c>
      <c r="M10" s="29"/>
      <c r="N10" s="17"/>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CA10" t="s">
        <v>22</v>
      </c>
    </row>
    <row r="11" spans="1:80" x14ac:dyDescent="0.2">
      <c r="A11" s="19"/>
      <c r="B11" s="5"/>
      <c r="C11" s="52" t="s">
        <v>23</v>
      </c>
      <c r="D11" s="52" t="s">
        <v>23</v>
      </c>
      <c r="E11" s="52" t="s">
        <v>23</v>
      </c>
      <c r="F11" s="52" t="s">
        <v>23</v>
      </c>
      <c r="G11" s="52" t="s">
        <v>23</v>
      </c>
      <c r="H11" s="52" t="s">
        <v>23</v>
      </c>
      <c r="I11" s="52" t="s">
        <v>23</v>
      </c>
      <c r="J11" s="52" t="s">
        <v>23</v>
      </c>
      <c r="K11" s="5"/>
      <c r="L11" s="5"/>
      <c r="M11" s="5"/>
      <c r="N11" s="17"/>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CA11" t="s">
        <v>24</v>
      </c>
    </row>
    <row r="12" spans="1:80" x14ac:dyDescent="0.2">
      <c r="A12" s="19"/>
      <c r="B12" s="5"/>
      <c r="C12" s="5"/>
      <c r="D12" s="5"/>
      <c r="E12" s="5"/>
      <c r="F12" s="5"/>
      <c r="G12" s="5"/>
      <c r="H12" s="5"/>
      <c r="I12" s="5"/>
      <c r="J12" s="5"/>
      <c r="K12" s="5"/>
      <c r="L12" s="5"/>
      <c r="M12" s="5"/>
      <c r="N12" s="17"/>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CA12" t="s">
        <v>25</v>
      </c>
    </row>
    <row r="13" spans="1:80" x14ac:dyDescent="0.2">
      <c r="A13" s="19"/>
      <c r="B13" s="5"/>
      <c r="C13" s="8" t="s">
        <v>26</v>
      </c>
      <c r="D13" s="52" t="s">
        <v>7</v>
      </c>
      <c r="E13" s="52" t="s">
        <v>7</v>
      </c>
      <c r="F13" s="52" t="s">
        <v>7</v>
      </c>
      <c r="G13" s="52" t="s">
        <v>7</v>
      </c>
      <c r="H13" s="52" t="s">
        <v>7</v>
      </c>
      <c r="I13" s="52" t="s">
        <v>7</v>
      </c>
      <c r="J13" s="5"/>
      <c r="K13" s="5"/>
      <c r="L13" s="45" t="s">
        <v>27</v>
      </c>
      <c r="M13" s="46" t="s">
        <v>27</v>
      </c>
      <c r="N13" s="17"/>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CA13" t="s">
        <v>28</v>
      </c>
    </row>
    <row r="14" spans="1:80" x14ac:dyDescent="0.2">
      <c r="A14" s="19"/>
      <c r="B14" s="5"/>
      <c r="C14" s="5"/>
      <c r="D14" s="5"/>
      <c r="E14" s="5"/>
      <c r="F14" s="5"/>
      <c r="G14" s="5"/>
      <c r="H14" s="5"/>
      <c r="I14" s="5"/>
      <c r="J14" s="5"/>
      <c r="K14" s="5"/>
      <c r="L14" s="5"/>
      <c r="M14" s="5"/>
      <c r="N14" s="17"/>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CA14" t="s">
        <v>29</v>
      </c>
    </row>
    <row r="15" spans="1:80" x14ac:dyDescent="0.2">
      <c r="A15" s="19"/>
      <c r="B15" s="5"/>
      <c r="C15" s="5"/>
      <c r="D15" s="24" t="s">
        <v>30</v>
      </c>
      <c r="E15" s="32">
        <v>50</v>
      </c>
      <c r="F15" s="32">
        <v>5</v>
      </c>
      <c r="G15" s="32">
        <v>5</v>
      </c>
      <c r="H15" s="32">
        <v>40</v>
      </c>
      <c r="I15" s="32">
        <v>0</v>
      </c>
      <c r="J15" s="32">
        <v>0</v>
      </c>
      <c r="K15" s="32">
        <v>0</v>
      </c>
      <c r="L15" s="53" t="str">
        <f>IF(SUM(E15:K15) &lt;&gt; 0, IF(SUM(E15:K15) &lt;&gt; 100, "  Total % not equal to 100!", ""), "")</f>
        <v/>
      </c>
      <c r="M15" s="54"/>
      <c r="N15" s="17"/>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CA15" t="s">
        <v>31</v>
      </c>
    </row>
    <row r="16" spans="1:80" x14ac:dyDescent="0.2">
      <c r="A16" s="19"/>
      <c r="B16" s="5"/>
      <c r="C16" s="5"/>
      <c r="D16" s="5"/>
      <c r="E16" s="5"/>
      <c r="F16" s="5"/>
      <c r="G16" s="5"/>
      <c r="H16" s="5"/>
      <c r="I16" s="5"/>
      <c r="J16" s="5"/>
      <c r="K16" s="5"/>
      <c r="L16" s="5"/>
      <c r="M16" s="5"/>
      <c r="N16" s="17"/>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CA16" t="s">
        <v>32</v>
      </c>
    </row>
    <row r="17" spans="1:79" x14ac:dyDescent="0.2">
      <c r="A17" s="19"/>
      <c r="B17" s="5"/>
      <c r="C17" s="8" t="s">
        <v>33</v>
      </c>
      <c r="D17" s="8" t="s">
        <v>34</v>
      </c>
      <c r="E17" s="8" t="s">
        <v>35</v>
      </c>
      <c r="F17" s="42" t="s">
        <v>256</v>
      </c>
      <c r="G17" s="42" t="s">
        <v>257</v>
      </c>
      <c r="H17" s="42" t="s">
        <v>258</v>
      </c>
      <c r="I17" s="25" t="s">
        <v>36</v>
      </c>
      <c r="J17" s="25" t="s">
        <v>37</v>
      </c>
      <c r="K17" s="25" t="s">
        <v>38</v>
      </c>
      <c r="L17" s="8" t="s">
        <v>39</v>
      </c>
      <c r="M17" s="8" t="s">
        <v>40</v>
      </c>
      <c r="N17" s="17"/>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CA17" t="s">
        <v>41</v>
      </c>
    </row>
    <row r="18" spans="1:79" x14ac:dyDescent="0.2">
      <c r="A18" s="19"/>
      <c r="B18" s="5"/>
      <c r="C18" s="9" t="s">
        <v>42</v>
      </c>
      <c r="D18" s="9" t="s">
        <v>43</v>
      </c>
      <c r="E18" s="33">
        <f ca="1">IF('Green Sheet'!Q18="AB", "AB", IF(ISERR('Green Sheet'!P18), 0, 'Green Sheet'!P18))</f>
        <v>0</v>
      </c>
      <c r="F18" s="32">
        <v>80</v>
      </c>
      <c r="G18" s="32">
        <v>100</v>
      </c>
      <c r="H18" s="32">
        <v>81</v>
      </c>
      <c r="I18" s="32"/>
      <c r="J18" s="32"/>
      <c r="K18" s="32"/>
      <c r="L18" s="28">
        <f ca="1">(IF(E18="AB", 0, E18)*(E15/100)) + (IF(F18="AB", 0, F18)*(F15/100)) +(IF(G18="AB", 0, G18)*(G15/100)) + (IF(H18="AB", 0, H18)*(H15/100)) + (IF(I18="AB", 0, I18)*(I15/100)) + (IF(J18="AB", 0, J18)*(J15/100)) + (IF(K18="AB", 0, K18)*(K15/100))</f>
        <v>41.4</v>
      </c>
      <c r="M18" s="12"/>
      <c r="N18" s="17"/>
      <c r="O18" s="18">
        <v>373534</v>
      </c>
      <c r="P18" s="18" t="s">
        <v>44</v>
      </c>
      <c r="Q18" s="18" t="s">
        <v>45</v>
      </c>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CA18" t="s">
        <v>46</v>
      </c>
    </row>
    <row r="19" spans="1:79" x14ac:dyDescent="0.2">
      <c r="A19" s="19"/>
      <c r="B19" s="5"/>
      <c r="C19" s="9" t="s">
        <v>47</v>
      </c>
      <c r="D19" s="9" t="s">
        <v>48</v>
      </c>
      <c r="E19" s="33">
        <f ca="1">IF('Green Sheet'!Q19="AB", "AB", IF(ISERR('Green Sheet'!P19), 0, 'Green Sheet'!P19))</f>
        <v>0</v>
      </c>
      <c r="F19" s="32">
        <v>84</v>
      </c>
      <c r="G19" s="32">
        <v>95</v>
      </c>
      <c r="H19" s="32">
        <v>54.8</v>
      </c>
      <c r="I19" s="32"/>
      <c r="J19" s="32"/>
      <c r="K19" s="32"/>
      <c r="L19" s="28">
        <f ca="1">(IF(E19="AB", 0, E19)*(E15/100)) + (IF(F19="AB", 0, F19)*(F15/100)) +(IF(G19="AB", 0, G19)*(G15/100)) + (IF(H19="AB", 0, H19)*(H15/100)) + (IF(I19="AB", 0, I19)*(I15/100)) + (IF(J19="AB", 0, J19)*(J15/100)) + (IF(K19="AB", 0, K19)*(K15/100))</f>
        <v>30.87</v>
      </c>
      <c r="M19" s="12"/>
      <c r="N19" s="17"/>
      <c r="O19" s="18">
        <v>373523</v>
      </c>
      <c r="P19" s="18" t="s">
        <v>44</v>
      </c>
      <c r="Q19" s="18" t="s">
        <v>45</v>
      </c>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CA19" t="s">
        <v>49</v>
      </c>
    </row>
    <row r="20" spans="1:79" x14ac:dyDescent="0.2">
      <c r="A20" s="19"/>
      <c r="B20" s="5"/>
      <c r="C20" s="9" t="s">
        <v>50</v>
      </c>
      <c r="D20" s="9" t="s">
        <v>51</v>
      </c>
      <c r="E20" s="33">
        <f ca="1">IF('Green Sheet'!Q20="AB", "AB", IF(ISERR('Green Sheet'!P20), 0, 'Green Sheet'!P20))</f>
        <v>0</v>
      </c>
      <c r="F20" s="32">
        <v>72</v>
      </c>
      <c r="G20" s="32">
        <v>0</v>
      </c>
      <c r="H20" s="32">
        <v>0</v>
      </c>
      <c r="I20" s="32"/>
      <c r="J20" s="32"/>
      <c r="K20" s="32"/>
      <c r="L20" s="28">
        <f ca="1">(IF(E20="AB", 0, E20)*(E15/100)) + (IF(F20="AB", 0, F20)*(F15/100)) +(IF(G20="AB", 0, G20)*(G15/100)) + (IF(H20="AB", 0, H20)*(H15/100)) + (IF(I20="AB", 0, I20)*(I15/100)) + (IF(J20="AB", 0, J20)*(J15/100)) + (IF(K20="AB", 0, K20)*(K15/100))</f>
        <v>3.6</v>
      </c>
      <c r="M20" s="12"/>
      <c r="N20" s="17"/>
      <c r="O20" s="18">
        <v>376646</v>
      </c>
      <c r="P20" s="18" t="s">
        <v>44</v>
      </c>
      <c r="Q20" s="18" t="s">
        <v>45</v>
      </c>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CA20" t="s">
        <v>52</v>
      </c>
    </row>
    <row r="21" spans="1:79" x14ac:dyDescent="0.2">
      <c r="A21" s="19"/>
      <c r="B21" s="5"/>
      <c r="C21" s="9" t="s">
        <v>53</v>
      </c>
      <c r="D21" s="9" t="s">
        <v>54</v>
      </c>
      <c r="E21" s="33">
        <f ca="1">IF('Green Sheet'!Q21="AB", "AB", IF(ISERR('Green Sheet'!P21), 0, 'Green Sheet'!P21))</f>
        <v>0</v>
      </c>
      <c r="F21" s="32">
        <v>72</v>
      </c>
      <c r="G21" s="32">
        <v>35</v>
      </c>
      <c r="H21" s="32">
        <v>61</v>
      </c>
      <c r="I21" s="32"/>
      <c r="J21" s="32"/>
      <c r="K21" s="32"/>
      <c r="L21" s="28">
        <f ca="1">(IF(E21="AB", 0, E21)*(E15/100)) + (IF(F21="AB", 0, F21)*(F15/100)) +(IF(G21="AB", 0, G21)*(G15/100)) + (IF(H21="AB", 0, H21)*(H15/100)) + (IF(I21="AB", 0, I21)*(I15/100)) + (IF(J21="AB", 0, J21)*(J15/100)) + (IF(K21="AB", 0, K21)*(K15/100))</f>
        <v>29.75</v>
      </c>
      <c r="M21" s="12"/>
      <c r="N21" s="17"/>
      <c r="O21" s="18">
        <v>373349</v>
      </c>
      <c r="P21" s="18" t="s">
        <v>44</v>
      </c>
      <c r="Q21" s="18" t="s">
        <v>45</v>
      </c>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CA21" t="s">
        <v>55</v>
      </c>
    </row>
    <row r="22" spans="1:79" x14ac:dyDescent="0.2">
      <c r="A22" s="19"/>
      <c r="B22" s="5"/>
      <c r="C22" s="9" t="s">
        <v>56</v>
      </c>
      <c r="D22" s="9" t="s">
        <v>57</v>
      </c>
      <c r="E22" s="33">
        <f ca="1">IF('Green Sheet'!Q22="AB", "AB", IF(ISERR('Green Sheet'!P22), 0, 'Green Sheet'!P22))</f>
        <v>0</v>
      </c>
      <c r="F22" s="32">
        <v>46.86</v>
      </c>
      <c r="G22" s="32">
        <v>10</v>
      </c>
      <c r="H22" s="32">
        <v>0</v>
      </c>
      <c r="I22" s="32"/>
      <c r="J22" s="32"/>
      <c r="K22" s="32"/>
      <c r="L22" s="28">
        <f ca="1">(IF(E22="AB", 0, E22)*(E15/100)) + (IF(F22="AB", 0, F22)*(F15/100)) +(IF(G22="AB", 0, G22)*(G15/100)) + (IF(H22="AB", 0, H22)*(H15/100)) + (IF(I22="AB", 0, I22)*(I15/100)) + (IF(J22="AB", 0, J22)*(J15/100)) + (IF(K22="AB", 0, K22)*(K15/100))</f>
        <v>2.843</v>
      </c>
      <c r="M22" s="12"/>
      <c r="N22" s="17"/>
      <c r="O22" s="18">
        <v>319664</v>
      </c>
      <c r="P22" s="18" t="s">
        <v>44</v>
      </c>
      <c r="Q22" s="18" t="s">
        <v>45</v>
      </c>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CA22" t="s">
        <v>58</v>
      </c>
    </row>
    <row r="23" spans="1:79" x14ac:dyDescent="0.2">
      <c r="A23" s="19"/>
      <c r="B23" s="5"/>
      <c r="C23" s="9" t="s">
        <v>59</v>
      </c>
      <c r="D23" s="9" t="s">
        <v>60</v>
      </c>
      <c r="E23" s="33">
        <f ca="1">IF('Green Sheet'!Q23="AB", "AB", IF(ISERR('Green Sheet'!P23), 0, 'Green Sheet'!P23))</f>
        <v>0</v>
      </c>
      <c r="F23" s="32">
        <v>100</v>
      </c>
      <c r="G23" s="32">
        <v>55</v>
      </c>
      <c r="H23" s="32">
        <v>56.5</v>
      </c>
      <c r="I23" s="32"/>
      <c r="J23" s="32"/>
      <c r="K23" s="32"/>
      <c r="L23" s="28">
        <f ca="1">(IF(E23="AB", 0, E23)*(E15/100)) + (IF(F23="AB", 0, F23)*(F15/100)) +(IF(G23="AB", 0, G23)*(G15/100)) + (IF(H23="AB", 0, H23)*(H15/100)) + (IF(I23="AB", 0, I23)*(I15/100)) + (IF(J23="AB", 0, J23)*(J15/100)) + (IF(K23="AB", 0, K23)*(K15/100))</f>
        <v>30.35</v>
      </c>
      <c r="M23" s="12"/>
      <c r="N23" s="17"/>
      <c r="O23" s="18">
        <v>376763</v>
      </c>
      <c r="P23" s="18" t="s">
        <v>44</v>
      </c>
      <c r="Q23" s="18" t="s">
        <v>45</v>
      </c>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CA23" t="s">
        <v>61</v>
      </c>
    </row>
    <row r="24" spans="1:79" x14ac:dyDescent="0.2">
      <c r="A24" s="19"/>
      <c r="B24" s="5"/>
      <c r="C24" s="9" t="s">
        <v>62</v>
      </c>
      <c r="D24" s="9" t="s">
        <v>63</v>
      </c>
      <c r="E24" s="33">
        <f ca="1">IF('Green Sheet'!Q24="AB", "AB", IF(ISERR('Green Sheet'!P24), 0, 'Green Sheet'!P24))</f>
        <v>0</v>
      </c>
      <c r="F24" s="32">
        <v>100</v>
      </c>
      <c r="G24" s="32">
        <v>100</v>
      </c>
      <c r="H24" s="32">
        <v>67.5</v>
      </c>
      <c r="I24" s="32"/>
      <c r="J24" s="32"/>
      <c r="K24" s="32"/>
      <c r="L24" s="28">
        <f ca="1">(IF(E24="AB", 0, E24)*(E15/100)) + (IF(F24="AB", 0, F24)*(F15/100)) +(IF(G24="AB", 0, G24)*(G15/100)) + (IF(H24="AB", 0, H24)*(H15/100)) + (IF(I24="AB", 0, I24)*(I15/100)) + (IF(J24="AB", 0, J24)*(J15/100)) + (IF(K24="AB", 0, K24)*(K15/100))</f>
        <v>37</v>
      </c>
      <c r="M24" s="12"/>
      <c r="N24" s="17"/>
      <c r="O24" s="18">
        <v>375606</v>
      </c>
      <c r="P24" s="18" t="s">
        <v>44</v>
      </c>
      <c r="Q24" s="18" t="s">
        <v>45</v>
      </c>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CA24" t="s">
        <v>64</v>
      </c>
    </row>
    <row r="25" spans="1:79" x14ac:dyDescent="0.2">
      <c r="A25" s="19"/>
      <c r="B25" s="5"/>
      <c r="C25" s="9" t="s">
        <v>65</v>
      </c>
      <c r="D25" s="9" t="s">
        <v>66</v>
      </c>
      <c r="E25" s="33">
        <f ca="1">IF('Green Sheet'!Q25="AB", "AB", IF(ISERR('Green Sheet'!P25), 0, 'Green Sheet'!P25))</f>
        <v>0</v>
      </c>
      <c r="F25" s="32">
        <v>100</v>
      </c>
      <c r="G25" s="32">
        <v>95</v>
      </c>
      <c r="H25" s="32">
        <v>76</v>
      </c>
      <c r="I25" s="32"/>
      <c r="J25" s="32"/>
      <c r="K25" s="32"/>
      <c r="L25" s="28">
        <f ca="1">(IF(E25="AB", 0, E25)*(E15/100)) + (IF(F25="AB", 0, F25)*(F15/100)) +(IF(G25="AB", 0, G25)*(G15/100)) + (IF(H25="AB", 0, H25)*(H15/100)) + (IF(I25="AB", 0, I25)*(I15/100)) + (IF(J25="AB", 0, J25)*(J15/100)) + (IF(K25="AB", 0, K25)*(K15/100))</f>
        <v>40.150000000000006</v>
      </c>
      <c r="M25" s="12"/>
      <c r="N25" s="17"/>
      <c r="O25" s="18">
        <v>372156</v>
      </c>
      <c r="P25" s="18" t="s">
        <v>44</v>
      </c>
      <c r="Q25" s="18" t="s">
        <v>45</v>
      </c>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CA25" t="s">
        <v>67</v>
      </c>
    </row>
    <row r="26" spans="1:79" x14ac:dyDescent="0.2">
      <c r="A26" s="19"/>
      <c r="B26" s="5"/>
      <c r="C26" s="9" t="s">
        <v>68</v>
      </c>
      <c r="D26" s="9" t="s">
        <v>69</v>
      </c>
      <c r="E26" s="33">
        <f ca="1">IF('Green Sheet'!Q26="AB", "AB", IF(ISERR('Green Sheet'!P26), 0, 'Green Sheet'!P26))</f>
        <v>0</v>
      </c>
      <c r="F26" s="32">
        <v>88</v>
      </c>
      <c r="G26" s="32">
        <v>100</v>
      </c>
      <c r="H26" s="32">
        <v>6.3</v>
      </c>
      <c r="I26" s="32"/>
      <c r="J26" s="32"/>
      <c r="K26" s="32"/>
      <c r="L26" s="28">
        <f ca="1">(IF(E26="AB", 0, E26)*(E15/100)) + (IF(F26="AB", 0, F26)*(F15/100)) +(IF(G26="AB", 0, G26)*(G15/100)) + (IF(H26="AB", 0, H26)*(H15/100)) + (IF(I26="AB", 0, I26)*(I15/100)) + (IF(J26="AB", 0, J26)*(J15/100)) + (IF(K26="AB", 0, K26)*(K15/100))</f>
        <v>11.92</v>
      </c>
      <c r="M26" s="12"/>
      <c r="N26" s="17"/>
      <c r="O26" s="18">
        <v>373036</v>
      </c>
      <c r="P26" s="18" t="s">
        <v>44</v>
      </c>
      <c r="Q26" s="18" t="s">
        <v>45</v>
      </c>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CA26" t="s">
        <v>70</v>
      </c>
    </row>
    <row r="27" spans="1:79" x14ac:dyDescent="0.2">
      <c r="A27" s="19"/>
      <c r="B27" s="5"/>
      <c r="C27" s="9" t="s">
        <v>71</v>
      </c>
      <c r="D27" s="9" t="s">
        <v>72</v>
      </c>
      <c r="E27" s="33">
        <f ca="1">IF('Green Sheet'!Q27="AB", "AB", IF(ISERR('Green Sheet'!P27), 0, 'Green Sheet'!P27))</f>
        <v>0</v>
      </c>
      <c r="F27" s="32">
        <v>88</v>
      </c>
      <c r="G27" s="32">
        <v>100</v>
      </c>
      <c r="H27" s="32">
        <v>56.5</v>
      </c>
      <c r="I27" s="32"/>
      <c r="J27" s="32"/>
      <c r="K27" s="32"/>
      <c r="L27" s="28">
        <f ca="1">(IF(E27="AB", 0, E27)*(E15/100)) + (IF(F27="AB", 0, F27)*(F15/100)) +(IF(G27="AB", 0, G27)*(G15/100)) + (IF(H27="AB", 0, H27)*(H15/100)) + (IF(I27="AB", 0, I27)*(I15/100)) + (IF(J27="AB", 0, J27)*(J15/100)) + (IF(K27="AB", 0, K27)*(K15/100))</f>
        <v>32</v>
      </c>
      <c r="M27" s="12"/>
      <c r="N27" s="17"/>
      <c r="O27" s="18">
        <v>380037</v>
      </c>
      <c r="P27" s="18" t="s">
        <v>44</v>
      </c>
      <c r="Q27" s="18" t="s">
        <v>45</v>
      </c>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CA27" t="s">
        <v>73</v>
      </c>
    </row>
    <row r="28" spans="1:79" x14ac:dyDescent="0.2">
      <c r="A28" s="19"/>
      <c r="B28" s="5"/>
      <c r="C28" s="9" t="s">
        <v>74</v>
      </c>
      <c r="D28" s="9" t="s">
        <v>75</v>
      </c>
      <c r="E28" s="33">
        <f ca="1">IF('Green Sheet'!Q28="AB", "AB", IF(ISERR('Green Sheet'!P28), 0, 'Green Sheet'!P28))</f>
        <v>0</v>
      </c>
      <c r="F28" s="32">
        <v>95</v>
      </c>
      <c r="G28" s="32">
        <v>100</v>
      </c>
      <c r="H28" s="32">
        <v>52.85</v>
      </c>
      <c r="I28" s="32"/>
      <c r="J28" s="32"/>
      <c r="K28" s="32"/>
      <c r="L28" s="28">
        <f ca="1">(IF(E28="AB", 0, E28)*(E15/100)) + (IF(F28="AB", 0, F28)*(F15/100)) +(IF(G28="AB", 0, G28)*(G15/100)) + (IF(H28="AB", 0, H28)*(H15/100)) + (IF(I28="AB", 0, I28)*(I15/100)) + (IF(J28="AB", 0, J28)*(J15/100)) + (IF(K28="AB", 0, K28)*(K15/100))</f>
        <v>30.89</v>
      </c>
      <c r="M28" s="12"/>
      <c r="N28" s="17"/>
      <c r="O28" s="18">
        <v>373034</v>
      </c>
      <c r="P28" s="18" t="s">
        <v>44</v>
      </c>
      <c r="Q28" s="18" t="s">
        <v>45</v>
      </c>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CA28" t="s">
        <v>76</v>
      </c>
    </row>
    <row r="29" spans="1:79" x14ac:dyDescent="0.2">
      <c r="A29" s="19"/>
      <c r="B29" s="5"/>
      <c r="C29" s="9" t="s">
        <v>77</v>
      </c>
      <c r="D29" s="9" t="s">
        <v>78</v>
      </c>
      <c r="E29" s="33">
        <f ca="1">IF('Green Sheet'!Q29="AB", "AB", IF(ISERR('Green Sheet'!P29), 0, 'Green Sheet'!P29))</f>
        <v>0</v>
      </c>
      <c r="F29" s="32">
        <v>96</v>
      </c>
      <c r="G29" s="32">
        <v>100</v>
      </c>
      <c r="H29" s="32"/>
      <c r="I29" s="32"/>
      <c r="J29" s="32"/>
      <c r="K29" s="32"/>
      <c r="L29" s="28">
        <f ca="1">(IF(E29="AB", 0, E29)*(E15/100)) + (IF(F29="AB", 0, F29)*(F15/100)) +(IF(G29="AB", 0, G29)*(G15/100)) + (IF(H29="AB", 0, H29)*(H15/100)) + (IF(I29="AB", 0, I29)*(I15/100)) + (IF(J29="AB", 0, J29)*(J15/100)) + (IF(K29="AB", 0, K29)*(K15/100))</f>
        <v>9.8000000000000007</v>
      </c>
      <c r="M29" s="12"/>
      <c r="N29" s="17"/>
      <c r="O29" s="18">
        <v>377637</v>
      </c>
      <c r="P29" s="18" t="s">
        <v>44</v>
      </c>
      <c r="Q29" s="18" t="s">
        <v>45</v>
      </c>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CA29" t="s">
        <v>79</v>
      </c>
    </row>
    <row r="30" spans="1:79" x14ac:dyDescent="0.2">
      <c r="A30" s="19"/>
      <c r="B30" s="5"/>
      <c r="C30" s="9" t="s">
        <v>80</v>
      </c>
      <c r="D30" s="9" t="s">
        <v>81</v>
      </c>
      <c r="E30" s="33">
        <f ca="1">IF('Green Sheet'!Q30="AB", "AB", IF(ISERR('Green Sheet'!P30), 0, 'Green Sheet'!P30))</f>
        <v>0</v>
      </c>
      <c r="F30" s="32">
        <v>68</v>
      </c>
      <c r="G30" s="32">
        <v>100</v>
      </c>
      <c r="H30" s="32">
        <v>73</v>
      </c>
      <c r="I30" s="32"/>
      <c r="J30" s="32"/>
      <c r="K30" s="32"/>
      <c r="L30" s="28">
        <f ca="1">(IF(E30="AB", 0, E30)*(E15/100)) + (IF(F30="AB", 0, F30)*(F15/100)) +(IF(G30="AB", 0, G30)*(G15/100)) + (IF(H30="AB", 0, H30)*(H15/100)) + (IF(I30="AB", 0, I30)*(I15/100)) + (IF(J30="AB", 0, J30)*(J15/100)) + (IF(K30="AB", 0, K30)*(K15/100))</f>
        <v>37.6</v>
      </c>
      <c r="M30" s="12"/>
      <c r="N30" s="17"/>
      <c r="O30" s="18">
        <v>376328</v>
      </c>
      <c r="P30" s="18" t="s">
        <v>44</v>
      </c>
      <c r="Q30" s="18" t="s">
        <v>45</v>
      </c>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CA30" t="s">
        <v>82</v>
      </c>
    </row>
    <row r="31" spans="1:79" x14ac:dyDescent="0.2">
      <c r="A31" s="19"/>
      <c r="B31" s="5"/>
      <c r="C31" s="9" t="s">
        <v>83</v>
      </c>
      <c r="D31" s="9" t="s">
        <v>84</v>
      </c>
      <c r="E31" s="33">
        <f ca="1">IF('Green Sheet'!Q31="AB", "AB", IF(ISERR('Green Sheet'!P31), 0, 'Green Sheet'!P31))</f>
        <v>0</v>
      </c>
      <c r="F31" s="32">
        <v>80</v>
      </c>
      <c r="G31" s="32">
        <v>100</v>
      </c>
      <c r="H31" s="32">
        <v>62.5</v>
      </c>
      <c r="I31" s="32"/>
      <c r="J31" s="32"/>
      <c r="K31" s="32"/>
      <c r="L31" s="28">
        <f ca="1">(IF(E31="AB", 0, E31)*(E15/100)) + (IF(F31="AB", 0, F31)*(F15/100)) +(IF(G31="AB", 0, G31)*(G15/100)) + (IF(H31="AB", 0, H31)*(H15/100)) + (IF(I31="AB", 0, I31)*(I15/100)) + (IF(J31="AB", 0, J31)*(J15/100)) + (IF(K31="AB", 0, K31)*(K15/100))</f>
        <v>34</v>
      </c>
      <c r="M31" s="12"/>
      <c r="N31" s="17"/>
      <c r="O31" s="18">
        <v>382152</v>
      </c>
      <c r="P31" s="18" t="s">
        <v>44</v>
      </c>
      <c r="Q31" s="18" t="s">
        <v>45</v>
      </c>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CA31" t="s">
        <v>85</v>
      </c>
    </row>
    <row r="32" spans="1:79" x14ac:dyDescent="0.2">
      <c r="A32" s="19"/>
      <c r="B32" s="5"/>
      <c r="C32" s="9" t="s">
        <v>86</v>
      </c>
      <c r="D32" s="9" t="s">
        <v>87</v>
      </c>
      <c r="E32" s="33">
        <f ca="1">IF('Green Sheet'!Q32="AB", "AB", IF(ISERR('Green Sheet'!P32), 0, 'Green Sheet'!P32))</f>
        <v>0</v>
      </c>
      <c r="F32" s="32">
        <v>100</v>
      </c>
      <c r="G32" s="32">
        <v>100</v>
      </c>
      <c r="H32" s="32">
        <v>80.5</v>
      </c>
      <c r="I32" s="32"/>
      <c r="J32" s="32"/>
      <c r="K32" s="32"/>
      <c r="L32" s="28">
        <f ca="1">(IF(E32="AB", 0, E32)*(E15/100)) + (IF(F32="AB", 0, F32)*(F15/100)) +(IF(G32="AB", 0, G32)*(G15/100)) + (IF(H32="AB", 0, H32)*(H15/100)) + (IF(I32="AB", 0, I32)*(I15/100)) + (IF(J32="AB", 0, J32)*(J15/100)) + (IF(K32="AB", 0, K32)*(K15/100))</f>
        <v>42.2</v>
      </c>
      <c r="M32" s="12"/>
      <c r="N32" s="17"/>
      <c r="O32" s="18">
        <v>375229</v>
      </c>
      <c r="P32" s="18" t="s">
        <v>44</v>
      </c>
      <c r="Q32" s="18" t="s">
        <v>45</v>
      </c>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CA32" t="s">
        <v>88</v>
      </c>
    </row>
    <row r="33" spans="1:79" x14ac:dyDescent="0.2">
      <c r="A33" s="19"/>
      <c r="B33" s="5"/>
      <c r="C33" s="9" t="s">
        <v>89</v>
      </c>
      <c r="D33" s="9" t="s">
        <v>90</v>
      </c>
      <c r="E33" s="33">
        <f ca="1">IF('Green Sheet'!Q33="AB", "AB", IF(ISERR('Green Sheet'!P33), 0, 'Green Sheet'!P33))</f>
        <v>0</v>
      </c>
      <c r="F33" s="32">
        <v>0</v>
      </c>
      <c r="G33" s="32">
        <v>0</v>
      </c>
      <c r="H33" s="32">
        <v>77.5</v>
      </c>
      <c r="I33" s="32"/>
      <c r="J33" s="32"/>
      <c r="K33" s="32"/>
      <c r="L33" s="28">
        <f ca="1">(IF(E33="AB", 0, E33)*(E15/100)) + (IF(F33="AB", 0, F33)*(F15/100)) +(IF(G33="AB", 0, G33)*(G15/100)) + (IF(H33="AB", 0, H33)*(H15/100)) + (IF(I33="AB", 0, I33)*(I15/100)) + (IF(J33="AB", 0, J33)*(J15/100)) + (IF(K33="AB", 0, K33)*(K15/100))</f>
        <v>31</v>
      </c>
      <c r="M33" s="12"/>
      <c r="N33" s="17"/>
      <c r="O33" s="18">
        <v>365952</v>
      </c>
      <c r="P33" s="18" t="s">
        <v>44</v>
      </c>
      <c r="Q33" s="18" t="s">
        <v>45</v>
      </c>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CA33" t="s">
        <v>91</v>
      </c>
    </row>
    <row r="34" spans="1:79" x14ac:dyDescent="0.2">
      <c r="A34" s="19"/>
      <c r="B34" s="5"/>
      <c r="C34" s="9" t="s">
        <v>92</v>
      </c>
      <c r="D34" s="9" t="s">
        <v>93</v>
      </c>
      <c r="E34" s="33">
        <f ca="1">IF('Green Sheet'!Q34="AB", "AB", IF(ISERR('Green Sheet'!P34), 0, 'Green Sheet'!P34))</f>
        <v>0</v>
      </c>
      <c r="F34" s="32">
        <v>100</v>
      </c>
      <c r="G34" s="32">
        <v>100</v>
      </c>
      <c r="H34" s="32">
        <v>48.5</v>
      </c>
      <c r="I34" s="32"/>
      <c r="J34" s="32"/>
      <c r="K34" s="32"/>
      <c r="L34" s="28">
        <f ca="1">(IF(E34="AB", 0, E34)*(E15/100)) + (IF(F34="AB", 0, F34)*(F15/100)) +(IF(G34="AB", 0, G34)*(G15/100)) + (IF(H34="AB", 0, H34)*(H15/100)) + (IF(I34="AB", 0, I34)*(I15/100)) + (IF(J34="AB", 0, J34)*(J15/100)) + (IF(K34="AB", 0, K34)*(K15/100))</f>
        <v>29.400000000000002</v>
      </c>
      <c r="M34" s="12"/>
      <c r="N34" s="17"/>
      <c r="O34" s="18">
        <v>372979</v>
      </c>
      <c r="P34" s="18" t="s">
        <v>44</v>
      </c>
      <c r="Q34" s="18" t="s">
        <v>45</v>
      </c>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CA34" t="s">
        <v>94</v>
      </c>
    </row>
    <row r="35" spans="1:79" x14ac:dyDescent="0.2">
      <c r="A35" s="19"/>
      <c r="B35" s="5"/>
      <c r="C35" s="9" t="s">
        <v>95</v>
      </c>
      <c r="D35" s="9" t="s">
        <v>96</v>
      </c>
      <c r="E35" s="33">
        <f ca="1">IF('Green Sheet'!Q35="AB", "AB", IF(ISERR('Green Sheet'!P35), 0, 'Green Sheet'!P35))</f>
        <v>0</v>
      </c>
      <c r="F35" s="32">
        <v>100</v>
      </c>
      <c r="G35" s="32">
        <v>0</v>
      </c>
      <c r="H35" s="32">
        <v>48.5</v>
      </c>
      <c r="I35" s="32"/>
      <c r="J35" s="32"/>
      <c r="K35" s="32"/>
      <c r="L35" s="28">
        <f ca="1">(IF(E35="AB", 0, E35)*(E15/100)) + (IF(F35="AB", 0, F35)*(F15/100)) +(IF(G35="AB", 0, G35)*(G15/100)) + (IF(H35="AB", 0, H35)*(H15/100)) + (IF(I35="AB", 0, I35)*(I15/100)) + (IF(J35="AB", 0, J35)*(J15/100)) + (IF(K35="AB", 0, K35)*(K15/100))</f>
        <v>24.400000000000002</v>
      </c>
      <c r="M35" s="12"/>
      <c r="N35" s="17"/>
      <c r="O35" s="18">
        <v>377340</v>
      </c>
      <c r="P35" s="18" t="s">
        <v>44</v>
      </c>
      <c r="Q35" s="18" t="s">
        <v>45</v>
      </c>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CA35" t="s">
        <v>97</v>
      </c>
    </row>
    <row r="36" spans="1:79" x14ac:dyDescent="0.2">
      <c r="A36" s="19"/>
      <c r="B36" s="5"/>
      <c r="C36" s="9" t="s">
        <v>98</v>
      </c>
      <c r="D36" s="9" t="s">
        <v>99</v>
      </c>
      <c r="E36" s="33">
        <f ca="1">IF('Green Sheet'!Q36="AB", "AB", IF(ISERR('Green Sheet'!P36), 0, 'Green Sheet'!P36))</f>
        <v>0</v>
      </c>
      <c r="F36" s="32">
        <v>100</v>
      </c>
      <c r="G36" s="32">
        <v>100</v>
      </c>
      <c r="H36" s="32"/>
      <c r="I36" s="32"/>
      <c r="J36" s="32"/>
      <c r="K36" s="32"/>
      <c r="L36" s="28">
        <f ca="1">(IF(E36="AB", 0, E36)*(E15/100)) + (IF(F36="AB", 0, F36)*(F15/100)) +(IF(G36="AB", 0, G36)*(G15/100)) + (IF(H36="AB", 0, H36)*(H15/100)) + (IF(I36="AB", 0, I36)*(I15/100)) + (IF(J36="AB", 0, J36)*(J15/100)) + (IF(K36="AB", 0, K36)*(K15/100))</f>
        <v>10</v>
      </c>
      <c r="M36" s="12"/>
      <c r="N36" s="17"/>
      <c r="O36" s="18">
        <v>375171</v>
      </c>
      <c r="P36" s="18" t="s">
        <v>44</v>
      </c>
      <c r="Q36" s="18" t="s">
        <v>45</v>
      </c>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CA36" t="s">
        <v>100</v>
      </c>
    </row>
    <row r="37" spans="1:79" x14ac:dyDescent="0.2">
      <c r="A37" s="19"/>
      <c r="B37" s="5"/>
      <c r="C37" s="9" t="s">
        <v>101</v>
      </c>
      <c r="D37" s="9" t="s">
        <v>102</v>
      </c>
      <c r="E37" s="33">
        <f ca="1">IF('Green Sheet'!Q37="AB", "AB", IF(ISERR('Green Sheet'!P37), 0, 'Green Sheet'!P37))</f>
        <v>0</v>
      </c>
      <c r="F37" s="32">
        <v>100</v>
      </c>
      <c r="G37" s="32">
        <v>0</v>
      </c>
      <c r="H37" s="32">
        <v>82.5</v>
      </c>
      <c r="I37" s="32"/>
      <c r="J37" s="32"/>
      <c r="K37" s="32"/>
      <c r="L37" s="28">
        <f ca="1">(IF(E37="AB", 0, E37)*(E15/100)) + (IF(F37="AB", 0, F37)*(F15/100)) +(IF(G37="AB", 0, G37)*(G15/100)) + (IF(H37="AB", 0, H37)*(H15/100)) + (IF(I37="AB", 0, I37)*(I15/100)) + (IF(J37="AB", 0, J37)*(J15/100)) + (IF(K37="AB", 0, K37)*(K15/100))</f>
        <v>38</v>
      </c>
      <c r="M37" s="12"/>
      <c r="N37" s="17"/>
      <c r="O37" s="18">
        <v>381865</v>
      </c>
      <c r="P37" s="18" t="s">
        <v>44</v>
      </c>
      <c r="Q37" s="18" t="s">
        <v>45</v>
      </c>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CA37" t="s">
        <v>103</v>
      </c>
    </row>
    <row r="38" spans="1:79" x14ac:dyDescent="0.2">
      <c r="A38" s="19"/>
      <c r="B38" s="5"/>
      <c r="C38" s="9" t="s">
        <v>104</v>
      </c>
      <c r="D38" s="9" t="s">
        <v>105</v>
      </c>
      <c r="E38" s="33">
        <f ca="1">IF('Green Sheet'!Q38="AB", "AB", IF(ISERR('Green Sheet'!P38), 0, 'Green Sheet'!P38))</f>
        <v>0</v>
      </c>
      <c r="F38" s="32">
        <v>100</v>
      </c>
      <c r="G38" s="32">
        <v>20</v>
      </c>
      <c r="H38" s="32">
        <v>81</v>
      </c>
      <c r="I38" s="32"/>
      <c r="J38" s="32"/>
      <c r="K38" s="32"/>
      <c r="L38" s="28">
        <f ca="1">(IF(E38="AB", 0, E38)*(E15/100)) + (IF(F38="AB", 0, F38)*(F15/100)) +(IF(G38="AB", 0, G38)*(G15/100)) + (IF(H38="AB", 0, H38)*(H15/100)) + (IF(I38="AB", 0, I38)*(I15/100)) + (IF(J38="AB", 0, J38)*(J15/100)) + (IF(K38="AB", 0, K38)*(K15/100))</f>
        <v>38.4</v>
      </c>
      <c r="M38" s="12"/>
      <c r="N38" s="17"/>
      <c r="O38" s="18">
        <v>338978</v>
      </c>
      <c r="P38" s="18" t="s">
        <v>44</v>
      </c>
      <c r="Q38" s="18" t="s">
        <v>45</v>
      </c>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CA38" t="s">
        <v>106</v>
      </c>
    </row>
    <row r="39" spans="1:79" x14ac:dyDescent="0.2">
      <c r="A39" s="19"/>
      <c r="B39" s="5"/>
      <c r="C39" s="9" t="s">
        <v>107</v>
      </c>
      <c r="D39" s="9" t="s">
        <v>108</v>
      </c>
      <c r="E39" s="33">
        <f ca="1">IF('Green Sheet'!Q39="AB", "AB", IF(ISERR('Green Sheet'!P39), 0, 'Green Sheet'!P39))</f>
        <v>0</v>
      </c>
      <c r="F39" s="32">
        <v>100</v>
      </c>
      <c r="G39" s="32">
        <v>100</v>
      </c>
      <c r="H39" s="32">
        <v>62.5</v>
      </c>
      <c r="I39" s="32"/>
      <c r="J39" s="32"/>
      <c r="K39" s="32"/>
      <c r="L39" s="28">
        <f ca="1">(IF(E39="AB", 0, E39)*(E15/100)) + (IF(F39="AB", 0, F39)*(F15/100)) +(IF(G39="AB", 0, G39)*(G15/100)) + (IF(H39="AB", 0, H39)*(H15/100)) + (IF(I39="AB", 0, I39)*(I15/100)) + (IF(J39="AB", 0, J39)*(J15/100)) + (IF(K39="AB", 0, K39)*(K15/100))</f>
        <v>35</v>
      </c>
      <c r="M39" s="12"/>
      <c r="N39" s="17"/>
      <c r="O39" s="18">
        <v>369708</v>
      </c>
      <c r="P39" s="18" t="s">
        <v>44</v>
      </c>
      <c r="Q39" s="18" t="s">
        <v>45</v>
      </c>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CA39" t="s">
        <v>109</v>
      </c>
    </row>
    <row r="40" spans="1:79" x14ac:dyDescent="0.2">
      <c r="A40" s="19"/>
      <c r="B40" s="5"/>
      <c r="C40" s="9" t="s">
        <v>110</v>
      </c>
      <c r="D40" s="9" t="s">
        <v>111</v>
      </c>
      <c r="E40" s="33">
        <f ca="1">IF('Green Sheet'!Q40="AB", "AB", IF(ISERR('Green Sheet'!P40), 0, 'Green Sheet'!P40))</f>
        <v>0</v>
      </c>
      <c r="F40" s="32">
        <v>100</v>
      </c>
      <c r="G40" s="32">
        <v>100</v>
      </c>
      <c r="H40" s="32"/>
      <c r="I40" s="32"/>
      <c r="J40" s="32"/>
      <c r="K40" s="32"/>
      <c r="L40" s="28">
        <f ca="1">(IF(E40="AB", 0, E40)*(E15/100)) + (IF(F40="AB", 0, F40)*(F15/100)) +(IF(G40="AB", 0, G40)*(G15/100)) + (IF(H40="AB", 0, H40)*(H15/100)) + (IF(I40="AB", 0, I40)*(I15/100)) + (IF(J40="AB", 0, J40)*(J15/100)) + (IF(K40="AB", 0, K40)*(K15/100))</f>
        <v>10</v>
      </c>
      <c r="M40" s="12"/>
      <c r="N40" s="17"/>
      <c r="O40" s="18">
        <v>375136</v>
      </c>
      <c r="P40" s="18" t="s">
        <v>44</v>
      </c>
      <c r="Q40" s="18" t="s">
        <v>45</v>
      </c>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CA40" t="s">
        <v>112</v>
      </c>
    </row>
    <row r="41" spans="1:79" x14ac:dyDescent="0.2">
      <c r="A41" s="19"/>
      <c r="B41" s="5"/>
      <c r="C41" s="9" t="s">
        <v>113</v>
      </c>
      <c r="D41" s="9" t="s">
        <v>114</v>
      </c>
      <c r="E41" s="33">
        <f ca="1">IF('Green Sheet'!Q41="AB", "AB", IF(ISERR('Green Sheet'!P41), 0, 'Green Sheet'!P41))</f>
        <v>0</v>
      </c>
      <c r="F41" s="32">
        <v>92</v>
      </c>
      <c r="G41" s="32">
        <v>30</v>
      </c>
      <c r="H41" s="32">
        <v>15.4</v>
      </c>
      <c r="I41" s="32"/>
      <c r="J41" s="32"/>
      <c r="K41" s="32"/>
      <c r="L41" s="28">
        <f ca="1">(IF(E41="AB", 0, E41)*(E15/100)) + (IF(F41="AB", 0, F41)*(F15/100)) +(IF(G41="AB", 0, G41)*(G15/100)) + (IF(H41="AB", 0, H41)*(H15/100)) + (IF(I41="AB", 0, I41)*(I15/100)) + (IF(J41="AB", 0, J41)*(J15/100)) + (IF(K41="AB", 0, K41)*(K15/100))</f>
        <v>12.260000000000002</v>
      </c>
      <c r="M41" s="12"/>
      <c r="N41" s="17"/>
      <c r="O41" s="18">
        <v>364916</v>
      </c>
      <c r="P41" s="18" t="s">
        <v>44</v>
      </c>
      <c r="Q41" s="18" t="s">
        <v>45</v>
      </c>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CA41" t="s">
        <v>115</v>
      </c>
    </row>
    <row r="42" spans="1:79" x14ac:dyDescent="0.2">
      <c r="A42" s="19"/>
      <c r="B42" s="5"/>
      <c r="C42" s="9" t="s">
        <v>116</v>
      </c>
      <c r="D42" s="9" t="s">
        <v>117</v>
      </c>
      <c r="E42" s="33">
        <f ca="1">IF('Green Sheet'!Q42="AB", "AB", IF(ISERR('Green Sheet'!P42), 0, 'Green Sheet'!P42))</f>
        <v>0</v>
      </c>
      <c r="F42" s="32">
        <v>100</v>
      </c>
      <c r="G42" s="32">
        <v>95</v>
      </c>
      <c r="H42" s="32">
        <v>40.85</v>
      </c>
      <c r="I42" s="32"/>
      <c r="J42" s="32"/>
      <c r="K42" s="32"/>
      <c r="L42" s="28">
        <f ca="1">(IF(E42="AB", 0, E42)*(E15/100)) + (IF(F42="AB", 0, F42)*(F15/100)) +(IF(G42="AB", 0, G42)*(G15/100)) + (IF(H42="AB", 0, H42)*(H15/100)) + (IF(I42="AB", 0, I42)*(I15/100)) + (IF(J42="AB", 0, J42)*(J15/100)) + (IF(K42="AB", 0, K42)*(K15/100))</f>
        <v>26.09</v>
      </c>
      <c r="M42" s="12"/>
      <c r="N42" s="17"/>
      <c r="O42" s="18">
        <v>368027</v>
      </c>
      <c r="P42" s="18" t="s">
        <v>44</v>
      </c>
      <c r="Q42" s="18" t="s">
        <v>45</v>
      </c>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CA42" t="s">
        <v>118</v>
      </c>
    </row>
    <row r="43" spans="1:79" x14ac:dyDescent="0.2">
      <c r="A43" s="19"/>
      <c r="B43" s="5"/>
      <c r="C43" s="9" t="s">
        <v>119</v>
      </c>
      <c r="D43" s="9" t="s">
        <v>120</v>
      </c>
      <c r="E43" s="33">
        <f ca="1">IF('Green Sheet'!Q43="AB", "AB", IF(ISERR('Green Sheet'!P43), 0, 'Green Sheet'!P43))</f>
        <v>0</v>
      </c>
      <c r="F43" s="32">
        <v>0</v>
      </c>
      <c r="G43" s="32">
        <v>0</v>
      </c>
      <c r="H43" s="32">
        <v>0</v>
      </c>
      <c r="I43" s="32"/>
      <c r="J43" s="32"/>
      <c r="K43" s="32"/>
      <c r="L43" s="28">
        <f ca="1">(IF(E43="AB", 0, E43)*(E15/100)) + (IF(F43="AB", 0, F43)*(F15/100)) +(IF(G43="AB", 0, G43)*(G15/100)) + (IF(H43="AB", 0, H43)*(H15/100)) + (IF(I43="AB", 0, I43)*(I15/100)) + (IF(J43="AB", 0, J43)*(J15/100)) + (IF(K43="AB", 0, K43)*(K15/100))</f>
        <v>0</v>
      </c>
      <c r="M43" s="12"/>
      <c r="N43" s="17"/>
      <c r="O43" s="18">
        <v>364744</v>
      </c>
      <c r="P43" s="18" t="s">
        <v>44</v>
      </c>
      <c r="Q43" s="18" t="s">
        <v>45</v>
      </c>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CA43" t="s">
        <v>121</v>
      </c>
    </row>
    <row r="44" spans="1:79" x14ac:dyDescent="0.2">
      <c r="A44" s="19"/>
      <c r="B44" s="5"/>
      <c r="C44" s="9" t="s">
        <v>122</v>
      </c>
      <c r="D44" s="9" t="s">
        <v>123</v>
      </c>
      <c r="E44" s="33">
        <f ca="1">IF('Green Sheet'!Q44="AB", "AB", IF(ISERR('Green Sheet'!P44), 0, 'Green Sheet'!P44))</f>
        <v>0</v>
      </c>
      <c r="F44" s="32">
        <v>0</v>
      </c>
      <c r="G44" s="32">
        <v>100</v>
      </c>
      <c r="H44" s="32">
        <v>0</v>
      </c>
      <c r="I44" s="32"/>
      <c r="J44" s="32"/>
      <c r="K44" s="32"/>
      <c r="L44" s="28">
        <f ca="1">(IF(E44="AB", 0, E44)*(E15/100)) + (IF(F44="AB", 0, F44)*(F15/100)) +(IF(G44="AB", 0, G44)*(G15/100)) + (IF(H44="AB", 0, H44)*(H15/100)) + (IF(I44="AB", 0, I44)*(I15/100)) + (IF(J44="AB", 0, J44)*(J15/100)) + (IF(K44="AB", 0, K44)*(K15/100))</f>
        <v>5</v>
      </c>
      <c r="M44" s="12"/>
      <c r="N44" s="17"/>
      <c r="O44" s="18">
        <v>364943</v>
      </c>
      <c r="P44" s="18" t="s">
        <v>44</v>
      </c>
      <c r="Q44" s="18" t="s">
        <v>45</v>
      </c>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CA44" t="s">
        <v>124</v>
      </c>
    </row>
    <row r="45" spans="1:79" x14ac:dyDescent="0.2">
      <c r="A45" s="19"/>
      <c r="B45" s="5"/>
      <c r="C45" s="9" t="s">
        <v>125</v>
      </c>
      <c r="D45" s="9" t="s">
        <v>126</v>
      </c>
      <c r="E45" s="33">
        <f ca="1">IF('Green Sheet'!Q45="AB", "AB", IF(ISERR('Green Sheet'!P45), 0, 'Green Sheet'!P45))</f>
        <v>0</v>
      </c>
      <c r="F45" s="32">
        <v>72</v>
      </c>
      <c r="G45" s="32">
        <v>55</v>
      </c>
      <c r="H45" s="32">
        <v>39.5</v>
      </c>
      <c r="I45" s="32"/>
      <c r="J45" s="32"/>
      <c r="K45" s="32"/>
      <c r="L45" s="28">
        <f ca="1">(IF(E45="AB", 0, E45)*(E15/100)) + (IF(F45="AB", 0, F45)*(F15/100)) +(IF(G45="AB", 0, G45)*(G15/100)) + (IF(H45="AB", 0, H45)*(H15/100)) + (IF(I45="AB", 0, I45)*(I15/100)) + (IF(J45="AB", 0, J45)*(J15/100)) + (IF(K45="AB", 0, K45)*(K15/100))</f>
        <v>22.15</v>
      </c>
      <c r="M45" s="12"/>
      <c r="N45" s="17"/>
      <c r="O45" s="18">
        <v>372980</v>
      </c>
      <c r="P45" s="18" t="s">
        <v>44</v>
      </c>
      <c r="Q45" s="18" t="s">
        <v>45</v>
      </c>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CA45" t="s">
        <v>127</v>
      </c>
    </row>
    <row r="46" spans="1:79" x14ac:dyDescent="0.2">
      <c r="A46" s="19"/>
      <c r="B46" s="5"/>
      <c r="C46" s="9" t="s">
        <v>128</v>
      </c>
      <c r="D46" s="9" t="s">
        <v>129</v>
      </c>
      <c r="E46" s="33">
        <f ca="1">IF('Green Sheet'!Q46="AB", "AB", IF(ISERR('Green Sheet'!P46), 0, 'Green Sheet'!P46))</f>
        <v>0</v>
      </c>
      <c r="F46" s="32">
        <v>70</v>
      </c>
      <c r="G46" s="32">
        <v>100</v>
      </c>
      <c r="H46" s="32">
        <v>81.5</v>
      </c>
      <c r="I46" s="32"/>
      <c r="J46" s="32"/>
      <c r="K46" s="32"/>
      <c r="L46" s="28">
        <f ca="1">(IF(E46="AB", 0, E46)*(E15/100)) + (IF(F46="AB", 0, F46)*(F15/100)) +(IF(G46="AB", 0, G46)*(G15/100)) + (IF(H46="AB", 0, H46)*(H15/100)) + (IF(I46="AB", 0, I46)*(I15/100)) + (IF(J46="AB", 0, J46)*(J15/100)) + (IF(K46="AB", 0, K46)*(K15/100))</f>
        <v>41.1</v>
      </c>
      <c r="M46" s="12"/>
      <c r="N46" s="17"/>
      <c r="O46" s="18">
        <v>377383</v>
      </c>
      <c r="P46" s="18" t="s">
        <v>44</v>
      </c>
      <c r="Q46" s="18" t="s">
        <v>45</v>
      </c>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CA46" t="s">
        <v>130</v>
      </c>
    </row>
    <row r="47" spans="1:79" x14ac:dyDescent="0.2">
      <c r="A47" s="19"/>
      <c r="B47" s="5"/>
      <c r="C47" s="9" t="s">
        <v>131</v>
      </c>
      <c r="D47" s="9" t="s">
        <v>132</v>
      </c>
      <c r="E47" s="33">
        <f ca="1">IF('Green Sheet'!Q47="AB", "AB", IF(ISERR('Green Sheet'!P47), 0, 'Green Sheet'!P47))</f>
        <v>0</v>
      </c>
      <c r="F47" s="32">
        <v>100</v>
      </c>
      <c r="G47" s="32">
        <v>100</v>
      </c>
      <c r="H47" s="32">
        <v>80</v>
      </c>
      <c r="I47" s="32"/>
      <c r="J47" s="32"/>
      <c r="K47" s="32"/>
      <c r="L47" s="28">
        <f ca="1">(IF(E47="AB", 0, E47)*(E15/100)) + (IF(F47="AB", 0, F47)*(F15/100)) +(IF(G47="AB", 0, G47)*(G15/100)) + (IF(H47="AB", 0, H47)*(H15/100)) + (IF(I47="AB", 0, I47)*(I15/100)) + (IF(J47="AB", 0, J47)*(J15/100)) + (IF(K47="AB", 0, K47)*(K15/100))</f>
        <v>42</v>
      </c>
      <c r="M47" s="12"/>
      <c r="N47" s="17"/>
      <c r="O47" s="18">
        <v>373221</v>
      </c>
      <c r="P47" s="18" t="s">
        <v>44</v>
      </c>
      <c r="Q47" s="18" t="s">
        <v>45</v>
      </c>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CA47" t="s">
        <v>133</v>
      </c>
    </row>
    <row r="48" spans="1:79" x14ac:dyDescent="0.2">
      <c r="A48" s="19"/>
      <c r="B48" s="5"/>
      <c r="C48" s="9" t="s">
        <v>134</v>
      </c>
      <c r="D48" s="9" t="s">
        <v>135</v>
      </c>
      <c r="E48" s="33">
        <f ca="1">IF('Green Sheet'!Q48="AB", "AB", IF(ISERR('Green Sheet'!P48), 0, 'Green Sheet'!P48))</f>
        <v>0</v>
      </c>
      <c r="F48" s="32">
        <v>96</v>
      </c>
      <c r="G48" s="32">
        <v>0</v>
      </c>
      <c r="H48" s="32">
        <v>82</v>
      </c>
      <c r="I48" s="32"/>
      <c r="J48" s="32"/>
      <c r="K48" s="32"/>
      <c r="L48" s="28">
        <f ca="1">(IF(E48="AB", 0, E48)*(E15/100)) + (IF(F48="AB", 0, F48)*(F15/100)) +(IF(G48="AB", 0, G48)*(G15/100)) + (IF(H48="AB", 0, H48)*(H15/100)) + (IF(I48="AB", 0, I48)*(I15/100)) + (IF(J48="AB", 0, J48)*(J15/100)) + (IF(K48="AB", 0, K48)*(K15/100))</f>
        <v>37.600000000000009</v>
      </c>
      <c r="M48" s="12"/>
      <c r="N48" s="17"/>
      <c r="O48" s="18">
        <v>381318</v>
      </c>
      <c r="P48" s="18" t="s">
        <v>44</v>
      </c>
      <c r="Q48" s="18" t="s">
        <v>45</v>
      </c>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CA48" t="s">
        <v>136</v>
      </c>
    </row>
    <row r="49" spans="1:79" x14ac:dyDescent="0.2">
      <c r="A49" s="19"/>
      <c r="B49" s="5"/>
      <c r="C49" s="9" t="s">
        <v>137</v>
      </c>
      <c r="D49" s="9" t="s">
        <v>138</v>
      </c>
      <c r="E49" s="33">
        <f ca="1">IF('Green Sheet'!Q49="AB", "AB", IF(ISERR('Green Sheet'!P49), 0, 'Green Sheet'!P49))</f>
        <v>0</v>
      </c>
      <c r="F49" s="32">
        <v>100</v>
      </c>
      <c r="G49" s="32">
        <v>100</v>
      </c>
      <c r="H49" s="32">
        <v>65.7</v>
      </c>
      <c r="I49" s="32"/>
      <c r="J49" s="32"/>
      <c r="K49" s="32"/>
      <c r="L49" s="28">
        <f ca="1">(IF(E49="AB", 0, E49)*(E15/100)) + (IF(F49="AB", 0, F49)*(F15/100)) +(IF(G49="AB", 0, G49)*(G15/100)) + (IF(H49="AB", 0, H49)*(H15/100)) + (IF(I49="AB", 0, I49)*(I15/100)) + (IF(J49="AB", 0, J49)*(J15/100)) + (IF(K49="AB", 0, K49)*(K15/100))</f>
        <v>36.28</v>
      </c>
      <c r="M49" s="12"/>
      <c r="N49" s="17"/>
      <c r="O49" s="18">
        <v>377421</v>
      </c>
      <c r="P49" s="18" t="s">
        <v>44</v>
      </c>
      <c r="Q49" s="18" t="s">
        <v>45</v>
      </c>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CA49" t="s">
        <v>139</v>
      </c>
    </row>
    <row r="50" spans="1:79" x14ac:dyDescent="0.2">
      <c r="A50" s="19"/>
      <c r="B50" s="5"/>
      <c r="C50" s="9" t="s">
        <v>140</v>
      </c>
      <c r="D50" s="9" t="s">
        <v>141</v>
      </c>
      <c r="E50" s="33">
        <f ca="1">IF('Green Sheet'!Q50="AB", "AB", IF(ISERR('Green Sheet'!P50), 0, 'Green Sheet'!P50))</f>
        <v>0</v>
      </c>
      <c r="F50" s="32">
        <v>95.7</v>
      </c>
      <c r="G50" s="32">
        <v>95</v>
      </c>
      <c r="H50" s="32">
        <v>60</v>
      </c>
      <c r="I50" s="32"/>
      <c r="J50" s="32"/>
      <c r="K50" s="32"/>
      <c r="L50" s="28">
        <f ca="1">(IF(E50="AB", 0, E50)*(E15/100)) + (IF(F50="AB", 0, F50)*(F15/100)) +(IF(G50="AB", 0, G50)*(G15/100)) + (IF(H50="AB", 0, H50)*(H15/100)) + (IF(I50="AB", 0, I50)*(I15/100)) + (IF(J50="AB", 0, J50)*(J15/100)) + (IF(K50="AB", 0, K50)*(K15/100))</f>
        <v>33.534999999999997</v>
      </c>
      <c r="M50" s="12"/>
      <c r="N50" s="17"/>
      <c r="O50" s="18">
        <v>376603</v>
      </c>
      <c r="P50" s="18" t="s">
        <v>44</v>
      </c>
      <c r="Q50" s="18" t="s">
        <v>45</v>
      </c>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CA50" t="s">
        <v>142</v>
      </c>
    </row>
    <row r="51" spans="1:79" x14ac:dyDescent="0.2">
      <c r="A51" s="19"/>
      <c r="B51" s="5"/>
      <c r="C51" s="9" t="s">
        <v>143</v>
      </c>
      <c r="D51" s="9" t="s">
        <v>144</v>
      </c>
      <c r="E51" s="33">
        <f ca="1">IF('Green Sheet'!Q51="AB", "AB", IF(ISERR('Green Sheet'!P51), 0, 'Green Sheet'!P51))</f>
        <v>0</v>
      </c>
      <c r="F51" s="32">
        <v>100</v>
      </c>
      <c r="G51" s="32">
        <v>35</v>
      </c>
      <c r="H51" s="32">
        <v>0</v>
      </c>
      <c r="I51" s="32"/>
      <c r="J51" s="32"/>
      <c r="K51" s="32"/>
      <c r="L51" s="28">
        <f ca="1">(IF(E51="AB", 0, E51)*(E15/100)) + (IF(F51="AB", 0, F51)*(F15/100)) +(IF(G51="AB", 0, G51)*(G15/100)) + (IF(H51="AB", 0, H51)*(H15/100)) + (IF(I51="AB", 0, I51)*(I15/100)) + (IF(J51="AB", 0, J51)*(J15/100)) + (IF(K51="AB", 0, K51)*(K15/100))</f>
        <v>6.75</v>
      </c>
      <c r="M51" s="12"/>
      <c r="N51" s="17"/>
      <c r="O51" s="18">
        <v>376287</v>
      </c>
      <c r="P51" s="18" t="s">
        <v>44</v>
      </c>
      <c r="Q51" s="18" t="s">
        <v>45</v>
      </c>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CA51" t="s">
        <v>145</v>
      </c>
    </row>
    <row r="52" spans="1:79" x14ac:dyDescent="0.2">
      <c r="A52" s="19"/>
      <c r="B52" s="5"/>
      <c r="C52" s="5"/>
      <c r="D52" s="5"/>
      <c r="E52" s="5"/>
      <c r="F52" s="5"/>
      <c r="G52" s="5"/>
      <c r="H52" s="5"/>
      <c r="I52" s="5"/>
      <c r="J52" s="5"/>
      <c r="K52" s="5"/>
      <c r="L52" s="5"/>
      <c r="M52" s="5"/>
      <c r="N52" s="17"/>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CA52" t="s">
        <v>146</v>
      </c>
    </row>
    <row r="53" spans="1:79" x14ac:dyDescent="0.2">
      <c r="A53" s="19"/>
      <c r="B53" s="5"/>
      <c r="C53" s="5" t="s">
        <v>147</v>
      </c>
      <c r="D53" s="5" t="s">
        <v>148</v>
      </c>
      <c r="E53" s="5"/>
      <c r="F53" s="5"/>
      <c r="G53" s="5"/>
      <c r="H53" s="5"/>
      <c r="I53" s="5"/>
      <c r="J53" s="5"/>
      <c r="K53" s="5"/>
      <c r="L53" s="5"/>
      <c r="M53" s="5"/>
      <c r="N53" s="17"/>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CA53" t="s">
        <v>149</v>
      </c>
    </row>
    <row r="54" spans="1:79" x14ac:dyDescent="0.2">
      <c r="A54" s="19"/>
      <c r="B54" s="5"/>
      <c r="C54" s="23" t="s">
        <v>150</v>
      </c>
      <c r="D54" s="23" t="s">
        <v>151</v>
      </c>
      <c r="E54" s="33">
        <f ca="1">IF('Green Sheet'!Q54="AB", "AB", IF(ISERR('Green Sheet'!P54), 0, 'Green Sheet'!P54))</f>
        <v>0</v>
      </c>
      <c r="F54" s="32"/>
      <c r="G54" s="32"/>
      <c r="H54" s="32"/>
      <c r="I54" s="32"/>
      <c r="J54" s="32"/>
      <c r="K54" s="32"/>
      <c r="L54" s="28">
        <f ca="1">(IF(E54="AB", 0, E54)*(E15/100)) + (IF(F54="AB", 0, F54)*(F15/100)) +(IF(G54="AB", 0, G54)*(G15/100)) + (IF(H54="AB", 0, H54)*(H15/100)) + (IF(I54="AB", 0, I54)*(I15/100)) + (IF(J54="AB", 0, J54)*(J15/100)) + (IF(K54="AB", 0, K54)*(K15/100))</f>
        <v>0</v>
      </c>
      <c r="M54" s="12"/>
      <c r="N54" s="17"/>
      <c r="O54" s="18">
        <v>0</v>
      </c>
      <c r="P54" s="18" t="s">
        <v>152</v>
      </c>
      <c r="Q54" s="18" t="s">
        <v>0</v>
      </c>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CA54" t="s">
        <v>153</v>
      </c>
    </row>
    <row r="55" spans="1:79" x14ac:dyDescent="0.2">
      <c r="A55" s="19"/>
      <c r="B55" s="5"/>
      <c r="C55" s="23" t="s">
        <v>150</v>
      </c>
      <c r="D55" s="23" t="s">
        <v>151</v>
      </c>
      <c r="E55" s="33">
        <f ca="1">IF('Green Sheet'!Q55="AB", "AB", IF(ISERR('Green Sheet'!P55), 0, 'Green Sheet'!P55))</f>
        <v>0</v>
      </c>
      <c r="F55" s="32"/>
      <c r="G55" s="32"/>
      <c r="H55" s="32"/>
      <c r="I55" s="32"/>
      <c r="J55" s="32"/>
      <c r="K55" s="32"/>
      <c r="L55" s="28">
        <f ca="1">(IF(E55="AB", 0, E55)*(E15/100)) + (IF(F55="AB", 0, F55)*(F15/100)) +(IF(G55="AB", 0, G55)*(G15/100)) + (IF(H55="AB", 0, H55)*(H15/100)) + (IF(I55="AB", 0, I55)*(I15/100)) + (IF(J55="AB", 0, J55)*(J15/100)) + (IF(K55="AB", 0, K55)*(K15/100))</f>
        <v>0</v>
      </c>
      <c r="M55" s="12"/>
      <c r="N55" s="17"/>
      <c r="O55" s="18">
        <v>0</v>
      </c>
      <c r="P55" s="18" t="s">
        <v>152</v>
      </c>
      <c r="Q55" s="18" t="s">
        <v>0</v>
      </c>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CA55" t="s">
        <v>154</v>
      </c>
    </row>
    <row r="56" spans="1:79" x14ac:dyDescent="0.2">
      <c r="A56" s="19"/>
      <c r="B56" s="5"/>
      <c r="C56" s="23" t="s">
        <v>150</v>
      </c>
      <c r="D56" s="23" t="s">
        <v>151</v>
      </c>
      <c r="E56" s="33">
        <f ca="1">IF('Green Sheet'!Q56="AB", "AB", IF(ISERR('Green Sheet'!P56), 0, 'Green Sheet'!P56))</f>
        <v>0</v>
      </c>
      <c r="F56" s="32"/>
      <c r="G56" s="32"/>
      <c r="H56" s="32"/>
      <c r="I56" s="32"/>
      <c r="J56" s="32"/>
      <c r="K56" s="32"/>
      <c r="L56" s="28">
        <f ca="1">(IF(E56="AB", 0, E56)*(E15/100)) + (IF(F56="AB", 0, F56)*(F15/100)) +(IF(G56="AB", 0, G56)*(G15/100)) + (IF(H56="AB", 0, H56)*(H15/100)) + (IF(I56="AB", 0, I56)*(I15/100)) + (IF(J56="AB", 0, J56)*(J15/100)) + (IF(K56="AB", 0, K56)*(K15/100))</f>
        <v>0</v>
      </c>
      <c r="M56" s="12"/>
      <c r="N56" s="17"/>
      <c r="O56" s="18">
        <v>0</v>
      </c>
      <c r="P56" s="18" t="s">
        <v>152</v>
      </c>
      <c r="Q56" s="18" t="s">
        <v>0</v>
      </c>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CA56" t="s">
        <v>155</v>
      </c>
    </row>
    <row r="57" spans="1:79" x14ac:dyDescent="0.2">
      <c r="A57" s="19"/>
      <c r="B57" s="5"/>
      <c r="C57" s="23" t="s">
        <v>150</v>
      </c>
      <c r="D57" s="23" t="s">
        <v>151</v>
      </c>
      <c r="E57" s="33">
        <f ca="1">IF('Green Sheet'!Q57="AB", "AB", IF(ISERR('Green Sheet'!P57), 0, 'Green Sheet'!P57))</f>
        <v>0</v>
      </c>
      <c r="F57" s="32"/>
      <c r="G57" s="32"/>
      <c r="H57" s="32"/>
      <c r="I57" s="32"/>
      <c r="J57" s="32"/>
      <c r="K57" s="32"/>
      <c r="L57" s="28">
        <f ca="1">(IF(E57="AB", 0, E57)*(E15/100)) + (IF(F57="AB", 0, F57)*(F15/100)) +(IF(G57="AB", 0, G57)*(G15/100)) + (IF(H57="AB", 0, H57)*(H15/100)) + (IF(I57="AB", 0, I57)*(I15/100)) + (IF(J57="AB", 0, J57)*(J15/100)) + (IF(K57="AB", 0, K57)*(K15/100))</f>
        <v>0</v>
      </c>
      <c r="M57" s="12"/>
      <c r="N57" s="17"/>
      <c r="O57" s="18">
        <v>0</v>
      </c>
      <c r="P57" s="18" t="s">
        <v>152</v>
      </c>
      <c r="Q57" s="18" t="s">
        <v>0</v>
      </c>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CA57" t="s">
        <v>156</v>
      </c>
    </row>
    <row r="58" spans="1:79" x14ac:dyDescent="0.2">
      <c r="A58" s="19"/>
      <c r="B58" s="5"/>
      <c r="C58" s="23" t="s">
        <v>150</v>
      </c>
      <c r="D58" s="23" t="s">
        <v>151</v>
      </c>
      <c r="E58" s="33">
        <f ca="1">IF('Green Sheet'!Q58="AB", "AB", IF(ISERR('Green Sheet'!P58), 0, 'Green Sheet'!P58))</f>
        <v>0</v>
      </c>
      <c r="F58" s="32"/>
      <c r="G58" s="32"/>
      <c r="H58" s="32"/>
      <c r="I58" s="32"/>
      <c r="J58" s="32"/>
      <c r="K58" s="32"/>
      <c r="L58" s="28">
        <f ca="1">(IF(E58="AB", 0, E58)*(E15/100)) + (IF(F58="AB", 0, F58)*(F15/100)) +(IF(G58="AB", 0, G58)*(G15/100)) + (IF(H58="AB", 0, H58)*(H15/100)) + (IF(I58="AB", 0, I58)*(I15/100)) + (IF(J58="AB", 0, J58)*(J15/100)) + (IF(K58="AB", 0, K58)*(K15/100))</f>
        <v>0</v>
      </c>
      <c r="M58" s="12"/>
      <c r="N58" s="17"/>
      <c r="O58" s="18">
        <v>0</v>
      </c>
      <c r="P58" s="18" t="s">
        <v>152</v>
      </c>
      <c r="Q58" s="18" t="s">
        <v>0</v>
      </c>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CA58" t="s">
        <v>157</v>
      </c>
    </row>
    <row r="59" spans="1:79" x14ac:dyDescent="0.2">
      <c r="A59" s="19"/>
      <c r="B59" s="5"/>
      <c r="C59" s="5"/>
      <c r="D59" s="5"/>
      <c r="E59" s="5"/>
      <c r="F59" s="5"/>
      <c r="G59" s="5"/>
      <c r="H59" s="5"/>
      <c r="I59" s="5"/>
      <c r="J59" s="5"/>
      <c r="K59" s="5"/>
      <c r="L59" s="5"/>
      <c r="M59" s="5"/>
      <c r="N59" s="17"/>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CA59" t="s">
        <v>158</v>
      </c>
    </row>
    <row r="60" spans="1:79" x14ac:dyDescent="0.2">
      <c r="A60" s="19"/>
      <c r="B60" s="5"/>
      <c r="C60" s="5"/>
      <c r="D60" s="5"/>
      <c r="E60" s="5"/>
      <c r="F60" s="5"/>
      <c r="G60" s="5"/>
      <c r="H60" s="5"/>
      <c r="I60" s="5"/>
      <c r="J60" s="5"/>
      <c r="K60" s="5"/>
      <c r="L60" s="5"/>
      <c r="M60" s="5"/>
      <c r="N60" s="17"/>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CA60" t="s">
        <v>159</v>
      </c>
    </row>
    <row r="61" spans="1:79" x14ac:dyDescent="0.2">
      <c r="A61" s="19"/>
      <c r="B61" s="5"/>
      <c r="C61" s="8" t="s">
        <v>160</v>
      </c>
      <c r="D61" s="10" t="s">
        <v>161</v>
      </c>
      <c r="E61" s="5"/>
      <c r="F61" s="5"/>
      <c r="G61" s="5"/>
      <c r="H61" s="5"/>
      <c r="I61" s="5"/>
      <c r="J61" s="5"/>
      <c r="K61" s="5"/>
      <c r="L61" s="5"/>
      <c r="M61" s="5"/>
      <c r="N61" s="17"/>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CA61" t="s">
        <v>162</v>
      </c>
    </row>
    <row r="62" spans="1:79" x14ac:dyDescent="0.2">
      <c r="A62" s="19"/>
      <c r="B62" s="5"/>
      <c r="C62" s="47"/>
      <c r="D62" s="48"/>
      <c r="E62" s="48"/>
      <c r="F62" s="48"/>
      <c r="G62" s="48"/>
      <c r="H62" s="48"/>
      <c r="I62" s="48"/>
      <c r="J62" s="48"/>
      <c r="K62" s="48"/>
      <c r="L62" s="48"/>
      <c r="M62" s="48"/>
      <c r="N62" s="17"/>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CA62" t="s">
        <v>163</v>
      </c>
    </row>
    <row r="63" spans="1:79" x14ac:dyDescent="0.2">
      <c r="A63" s="19"/>
      <c r="B63" s="5"/>
      <c r="C63" s="48"/>
      <c r="D63" s="48"/>
      <c r="E63" s="48"/>
      <c r="F63" s="48"/>
      <c r="G63" s="48"/>
      <c r="H63" s="48"/>
      <c r="I63" s="48"/>
      <c r="J63" s="48"/>
      <c r="K63" s="48"/>
      <c r="L63" s="48"/>
      <c r="M63" s="48"/>
      <c r="N63" s="17"/>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CA63" t="s">
        <v>164</v>
      </c>
    </row>
    <row r="64" spans="1:79" x14ac:dyDescent="0.2">
      <c r="A64" s="19"/>
      <c r="B64" s="5"/>
      <c r="C64" s="48"/>
      <c r="D64" s="48"/>
      <c r="E64" s="48"/>
      <c r="F64" s="48"/>
      <c r="G64" s="48"/>
      <c r="H64" s="48"/>
      <c r="I64" s="48"/>
      <c r="J64" s="48"/>
      <c r="K64" s="48"/>
      <c r="L64" s="48"/>
      <c r="M64" s="48"/>
      <c r="N64" s="17"/>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CA64" t="s">
        <v>165</v>
      </c>
    </row>
    <row r="65" spans="1:79" x14ac:dyDescent="0.2">
      <c r="A65" s="19"/>
      <c r="B65" s="5"/>
      <c r="C65" s="48"/>
      <c r="D65" s="48"/>
      <c r="E65" s="48"/>
      <c r="F65" s="48"/>
      <c r="G65" s="48"/>
      <c r="H65" s="48"/>
      <c r="I65" s="48"/>
      <c r="J65" s="48"/>
      <c r="K65" s="48"/>
      <c r="L65" s="48"/>
      <c r="M65" s="48"/>
      <c r="N65" s="17"/>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CA65" t="s">
        <v>166</v>
      </c>
    </row>
    <row r="66" spans="1:79" x14ac:dyDescent="0.2">
      <c r="A66" s="19"/>
      <c r="B66" s="5"/>
      <c r="C66" s="48"/>
      <c r="D66" s="48"/>
      <c r="E66" s="48"/>
      <c r="F66" s="48"/>
      <c r="G66" s="48"/>
      <c r="H66" s="48"/>
      <c r="I66" s="48"/>
      <c r="J66" s="48"/>
      <c r="K66" s="48"/>
      <c r="L66" s="48"/>
      <c r="M66" s="48"/>
      <c r="N66" s="17"/>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CA66" t="s">
        <v>167</v>
      </c>
    </row>
    <row r="67" spans="1:79" x14ac:dyDescent="0.2">
      <c r="A67" s="19"/>
      <c r="B67" s="5"/>
      <c r="C67" s="48"/>
      <c r="D67" s="48"/>
      <c r="E67" s="48"/>
      <c r="F67" s="48"/>
      <c r="G67" s="48"/>
      <c r="H67" s="48"/>
      <c r="I67" s="48"/>
      <c r="J67" s="48"/>
      <c r="K67" s="48"/>
      <c r="L67" s="48"/>
      <c r="M67" s="48"/>
      <c r="N67" s="17"/>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CA67" t="s">
        <v>168</v>
      </c>
    </row>
    <row r="68" spans="1:79" x14ac:dyDescent="0.2">
      <c r="A68" s="19"/>
      <c r="B68" s="5"/>
      <c r="C68" s="48"/>
      <c r="D68" s="48"/>
      <c r="E68" s="48"/>
      <c r="F68" s="48"/>
      <c r="G68" s="48"/>
      <c r="H68" s="48"/>
      <c r="I68" s="48"/>
      <c r="J68" s="48"/>
      <c r="K68" s="48"/>
      <c r="L68" s="48"/>
      <c r="M68" s="48"/>
      <c r="N68" s="17"/>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CA68" t="s">
        <v>169</v>
      </c>
    </row>
    <row r="69" spans="1:79" x14ac:dyDescent="0.2">
      <c r="A69" s="19"/>
      <c r="B69" s="5"/>
      <c r="C69" s="48"/>
      <c r="D69" s="48"/>
      <c r="E69" s="48"/>
      <c r="F69" s="48"/>
      <c r="G69" s="48"/>
      <c r="H69" s="48"/>
      <c r="I69" s="48"/>
      <c r="J69" s="48"/>
      <c r="K69" s="48"/>
      <c r="L69" s="48"/>
      <c r="M69" s="48"/>
      <c r="N69" s="17"/>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CA69" t="s">
        <v>170</v>
      </c>
    </row>
    <row r="70" spans="1:79" x14ac:dyDescent="0.2">
      <c r="A70" s="19"/>
      <c r="B70" s="5"/>
      <c r="C70" s="5"/>
      <c r="D70" s="5"/>
      <c r="E70" s="5"/>
      <c r="F70" s="5"/>
      <c r="G70" s="5"/>
      <c r="H70" s="5"/>
      <c r="I70" s="5"/>
      <c r="J70" s="5"/>
      <c r="K70" s="5"/>
      <c r="L70" s="5"/>
      <c r="M70" s="5"/>
      <c r="N70" s="17"/>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CA70" t="s">
        <v>171</v>
      </c>
    </row>
    <row r="71" spans="1:79" x14ac:dyDescent="0.2">
      <c r="A71" s="19"/>
      <c r="B71" s="5"/>
      <c r="C71" s="5"/>
      <c r="D71" s="5" t="s">
        <v>172</v>
      </c>
      <c r="E71" s="5"/>
      <c r="F71" s="43"/>
      <c r="G71" s="44"/>
      <c r="H71" s="44"/>
      <c r="I71" s="5"/>
      <c r="J71" s="5" t="s">
        <v>173</v>
      </c>
      <c r="K71" s="43"/>
      <c r="L71" s="44"/>
      <c r="M71" s="5"/>
      <c r="N71" s="17"/>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CA71" t="s">
        <v>174</v>
      </c>
    </row>
    <row r="72" spans="1:79" x14ac:dyDescent="0.2">
      <c r="A72" s="19"/>
      <c r="B72" s="5"/>
      <c r="C72" s="5"/>
      <c r="D72" s="5"/>
      <c r="E72" s="5"/>
      <c r="F72" s="49"/>
      <c r="G72" s="44"/>
      <c r="H72" s="44"/>
      <c r="I72" s="5"/>
      <c r="J72" s="5"/>
      <c r="K72" s="5"/>
      <c r="L72" s="5"/>
      <c r="M72" s="5"/>
      <c r="N72" s="17"/>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CA72" t="s">
        <v>175</v>
      </c>
    </row>
    <row r="73" spans="1:79" x14ac:dyDescent="0.2">
      <c r="A73" s="19"/>
      <c r="B73" s="5"/>
      <c r="C73" s="5"/>
      <c r="D73" s="5"/>
      <c r="E73" s="5"/>
      <c r="F73" s="49"/>
      <c r="G73" s="44"/>
      <c r="H73" s="44"/>
      <c r="I73" s="5"/>
      <c r="J73" s="5"/>
      <c r="K73" s="5"/>
      <c r="L73" s="5"/>
      <c r="M73" s="5"/>
      <c r="N73" s="17"/>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CA73" t="s">
        <v>176</v>
      </c>
    </row>
    <row r="74" spans="1:79" x14ac:dyDescent="0.2">
      <c r="A74" s="19"/>
      <c r="B74" s="5"/>
      <c r="C74" s="5"/>
      <c r="D74" s="5"/>
      <c r="E74" s="5"/>
      <c r="F74" s="5"/>
      <c r="G74" s="5"/>
      <c r="H74" s="5"/>
      <c r="I74" s="5"/>
      <c r="J74" s="5"/>
      <c r="K74" s="5"/>
      <c r="L74" s="5"/>
      <c r="M74" s="5"/>
      <c r="N74" s="17"/>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CA74" t="s">
        <v>177</v>
      </c>
    </row>
    <row r="75" spans="1:79" x14ac:dyDescent="0.2">
      <c r="A75" s="19"/>
      <c r="B75" s="5"/>
      <c r="C75" s="5"/>
      <c r="D75" s="5" t="s">
        <v>178</v>
      </c>
      <c r="E75" s="5"/>
      <c r="F75" s="43"/>
      <c r="G75" s="44"/>
      <c r="H75" s="44"/>
      <c r="I75" s="5"/>
      <c r="J75" s="5" t="s">
        <v>173</v>
      </c>
      <c r="K75" s="43"/>
      <c r="L75" s="44"/>
      <c r="M75" s="5"/>
      <c r="N75" s="17"/>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CA75" t="s">
        <v>179</v>
      </c>
    </row>
    <row r="76" spans="1:79" x14ac:dyDescent="0.2">
      <c r="A76" s="19"/>
      <c r="B76" s="5"/>
      <c r="C76" s="5"/>
      <c r="D76" s="5"/>
      <c r="E76" s="5"/>
      <c r="F76" s="5"/>
      <c r="G76" s="5"/>
      <c r="H76" s="5"/>
      <c r="I76" s="5"/>
      <c r="J76" s="5"/>
      <c r="K76" s="5"/>
      <c r="L76" s="5"/>
      <c r="M76" s="5"/>
      <c r="N76" s="17"/>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CA76" t="s">
        <v>180</v>
      </c>
    </row>
    <row r="77" spans="1:79" x14ac:dyDescent="0.2">
      <c r="A77" s="19"/>
      <c r="B77" s="5"/>
      <c r="C77" s="5"/>
      <c r="D77" s="5" t="s">
        <v>181</v>
      </c>
      <c r="E77" s="5"/>
      <c r="F77" s="5"/>
      <c r="G77" s="5"/>
      <c r="H77" s="5"/>
      <c r="I77" s="5"/>
      <c r="J77" s="5"/>
      <c r="K77" s="5"/>
      <c r="L77" s="5"/>
      <c r="M77" s="5"/>
      <c r="N77" s="17"/>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CA77" t="s">
        <v>182</v>
      </c>
    </row>
    <row r="78" spans="1:79" x14ac:dyDescent="0.2">
      <c r="A78" s="19"/>
      <c r="B78" s="5"/>
      <c r="C78" s="5"/>
      <c r="D78" s="5"/>
      <c r="E78" s="5"/>
      <c r="F78" s="5"/>
      <c r="G78" s="5"/>
      <c r="H78" s="5"/>
      <c r="I78" s="5"/>
      <c r="J78" s="5"/>
      <c r="K78" s="5"/>
      <c r="L78" s="5"/>
      <c r="M78" s="5"/>
      <c r="N78" s="17"/>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CA78" t="s">
        <v>183</v>
      </c>
    </row>
    <row r="79" spans="1:79" x14ac:dyDescent="0.2">
      <c r="A79" s="19"/>
      <c r="B79" s="5"/>
      <c r="C79" s="5"/>
      <c r="D79" s="5"/>
      <c r="E79" s="5"/>
      <c r="F79" s="5"/>
      <c r="G79" s="5"/>
      <c r="H79" s="5"/>
      <c r="I79" s="5"/>
      <c r="J79" s="5"/>
      <c r="K79" s="5"/>
      <c r="L79" s="5"/>
      <c r="M79" s="5"/>
      <c r="N79" s="17"/>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CA79" t="s">
        <v>184</v>
      </c>
    </row>
    <row r="80" spans="1:79" x14ac:dyDescent="0.2">
      <c r="A80" s="18"/>
      <c r="B80" s="22"/>
      <c r="C80" s="22"/>
      <c r="D80" s="22"/>
      <c r="E80" s="22"/>
      <c r="F80" s="22"/>
      <c r="G80" s="22"/>
      <c r="H80" s="22"/>
      <c r="I80" s="22"/>
      <c r="J80" s="22"/>
      <c r="K80" s="22"/>
      <c r="L80" s="22"/>
      <c r="M80" s="22"/>
      <c r="N80" s="22"/>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CA80" t="s">
        <v>185</v>
      </c>
    </row>
    <row r="81" spans="1:79"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CA81" t="s">
        <v>186</v>
      </c>
    </row>
    <row r="82" spans="1:79"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CA82" t="s">
        <v>187</v>
      </c>
    </row>
    <row r="83" spans="1:79"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CA83" t="s">
        <v>188</v>
      </c>
    </row>
    <row r="84" spans="1:79"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CA84" t="s">
        <v>189</v>
      </c>
    </row>
    <row r="85" spans="1:79"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CA85" t="s">
        <v>190</v>
      </c>
    </row>
    <row r="86" spans="1:79"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CA86" t="s">
        <v>191</v>
      </c>
    </row>
    <row r="87" spans="1:79"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CA87" t="s">
        <v>192</v>
      </c>
    </row>
    <row r="88" spans="1:79"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CA88" t="s">
        <v>193</v>
      </c>
    </row>
    <row r="89" spans="1:79"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CA89" t="s">
        <v>194</v>
      </c>
    </row>
    <row r="90" spans="1:79"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CA90" t="s">
        <v>195</v>
      </c>
    </row>
    <row r="91" spans="1:79"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CA91" t="s">
        <v>196</v>
      </c>
    </row>
    <row r="92" spans="1:79"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CA92" t="s">
        <v>197</v>
      </c>
    </row>
    <row r="93" spans="1:79"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CA93" t="s">
        <v>198</v>
      </c>
    </row>
    <row r="94" spans="1:79"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CA94" t="s">
        <v>199</v>
      </c>
    </row>
    <row r="95" spans="1:79"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CA95" t="s">
        <v>200</v>
      </c>
    </row>
    <row r="96" spans="1:79"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CA96" t="s">
        <v>201</v>
      </c>
    </row>
    <row r="97" spans="1:79"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CA97" t="s">
        <v>202</v>
      </c>
    </row>
    <row r="98" spans="1:79"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CA98" t="s">
        <v>203</v>
      </c>
    </row>
    <row r="99" spans="1:79"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CA99" t="s">
        <v>204</v>
      </c>
    </row>
    <row r="100" spans="1:79"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CA100" t="s">
        <v>205</v>
      </c>
    </row>
    <row r="101" spans="1:79"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CA101" t="s">
        <v>206</v>
      </c>
    </row>
    <row r="102" spans="1:79"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CA102" t="s">
        <v>207</v>
      </c>
    </row>
    <row r="103" spans="1:79"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CA103" t="s">
        <v>208</v>
      </c>
    </row>
    <row r="104" spans="1:79"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CA104" t="s">
        <v>209</v>
      </c>
    </row>
    <row r="105" spans="1:79"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CA105" t="s">
        <v>210</v>
      </c>
    </row>
    <row r="106" spans="1:79"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CA106" t="s">
        <v>211</v>
      </c>
    </row>
    <row r="107" spans="1:79"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CA107" t="s">
        <v>212</v>
      </c>
    </row>
    <row r="108" spans="1:79"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CA108" t="s">
        <v>213</v>
      </c>
    </row>
    <row r="109" spans="1:79"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CA109" t="s">
        <v>214</v>
      </c>
    </row>
    <row r="110" spans="1:79"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CA110" t="s">
        <v>215</v>
      </c>
    </row>
    <row r="111" spans="1:79"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CA111" t="s">
        <v>216</v>
      </c>
    </row>
    <row r="112" spans="1:79"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CA112" t="s">
        <v>217</v>
      </c>
    </row>
    <row r="113" spans="1:79"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CA113" t="s">
        <v>218</v>
      </c>
    </row>
    <row r="114" spans="1:79"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CA114" t="s">
        <v>219</v>
      </c>
    </row>
    <row r="115" spans="1:79"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row>
    <row r="116" spans="1:79"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row>
    <row r="117" spans="1:79"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row>
    <row r="118" spans="1:79"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row>
    <row r="119" spans="1:79"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row>
    <row r="120" spans="1:79"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row>
    <row r="121" spans="1:79"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row>
    <row r="122" spans="1:79"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row>
    <row r="123" spans="1:79"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row>
    <row r="124" spans="1:79"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row>
    <row r="125" spans="1:79"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row>
    <row r="126" spans="1:79"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row>
    <row r="127" spans="1:79"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row>
    <row r="128" spans="1:79"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row>
    <row r="129" spans="1:52"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row>
    <row r="130" spans="1:52"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row>
    <row r="131" spans="1:52"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row>
    <row r="132" spans="1:52"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row>
    <row r="133" spans="1:52"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row>
    <row r="134" spans="1:52"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row>
    <row r="135" spans="1:52"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row>
    <row r="136" spans="1:52"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row>
    <row r="137" spans="1:52"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row>
    <row r="138" spans="1:52"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row>
    <row r="139" spans="1:52"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row>
    <row r="140" spans="1:52"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row>
    <row r="141" spans="1:52"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row>
    <row r="142" spans="1:52"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row>
    <row r="143" spans="1:52"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row>
    <row r="144" spans="1:52"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row>
    <row r="145" spans="1:52"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row>
    <row r="146" spans="1:52"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row>
    <row r="147" spans="1:52"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row>
    <row r="148" spans="1:52"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row>
    <row r="149" spans="1:52"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row>
    <row r="150" spans="1:52"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row>
    <row r="151" spans="1:52"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row>
    <row r="152" spans="1:52"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row>
    <row r="153" spans="1:52"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row>
    <row r="154" spans="1:52"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row>
    <row r="155" spans="1:52"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row>
    <row r="156" spans="1:52"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row>
    <row r="157" spans="1:52"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row>
    <row r="158" spans="1:52"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row>
    <row r="159" spans="1:52"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row>
  </sheetData>
  <sheetProtection sheet="1"/>
  <mergeCells count="18">
    <mergeCell ref="E3:J3"/>
    <mergeCell ref="K3:M7"/>
    <mergeCell ref="E4:J4"/>
    <mergeCell ref="E5:J5"/>
    <mergeCell ref="E7:J7"/>
    <mergeCell ref="L8:M8"/>
    <mergeCell ref="C9:D9"/>
    <mergeCell ref="C11:J11"/>
    <mergeCell ref="D13:I13"/>
    <mergeCell ref="L15:M15"/>
    <mergeCell ref="F75:H75"/>
    <mergeCell ref="K75:L75"/>
    <mergeCell ref="L13:M13"/>
    <mergeCell ref="C62:M69"/>
    <mergeCell ref="F71:H71"/>
    <mergeCell ref="F72:H72"/>
    <mergeCell ref="F73:H73"/>
    <mergeCell ref="K71:L71"/>
  </mergeCells>
  <dataValidations count="1">
    <dataValidation type="list" showErrorMessage="1" error="You must choose only from the dropdown list!" sqref="M54:M58 M18:M51" xr:uid="{00000000-0002-0000-0000-000000000000}">
      <formula1>SpecialGrade</formula1>
    </dataValidation>
  </dataValidations>
  <pageMargins left="0.7" right="0.7" top="0.75" bottom="0.75"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159"/>
  <sheetViews>
    <sheetView showGridLines="0" workbookViewId="0"/>
  </sheetViews>
  <sheetFormatPr baseColWidth="10" defaultColWidth="8.83203125" defaultRowHeight="15" x14ac:dyDescent="0.2"/>
  <cols>
    <col min="1" max="1" width="10" customWidth="1"/>
    <col min="2" max="2" width="4" customWidth="1"/>
    <col min="3" max="3" width="11" customWidth="1"/>
    <col min="4" max="4" width="27" customWidth="1"/>
    <col min="5" max="14" width="6" customWidth="1"/>
    <col min="15" max="17" width="8" customWidth="1"/>
    <col min="18" max="18" width="4" customWidth="1"/>
  </cols>
  <sheetData>
    <row r="1" spans="1:79"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CA1" t="s">
        <v>220</v>
      </c>
    </row>
    <row r="2" spans="1:79" x14ac:dyDescent="0.2">
      <c r="A2" s="2"/>
      <c r="B2" s="4"/>
      <c r="C2" s="4"/>
      <c r="D2" s="4"/>
      <c r="E2" s="4"/>
      <c r="F2" s="4"/>
      <c r="G2" s="4"/>
      <c r="H2" s="4"/>
      <c r="I2" s="4"/>
      <c r="J2" s="4"/>
      <c r="K2" s="4"/>
      <c r="L2" s="4"/>
      <c r="M2" s="4"/>
      <c r="N2" s="4"/>
      <c r="O2" s="4"/>
      <c r="P2" s="4"/>
      <c r="Q2" s="4"/>
      <c r="R2" s="16"/>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79" x14ac:dyDescent="0.2">
      <c r="A3" s="2"/>
      <c r="B3" s="5"/>
      <c r="C3" s="55" t="s">
        <v>4</v>
      </c>
      <c r="D3" s="55" t="s">
        <v>4</v>
      </c>
      <c r="E3" s="55" t="s">
        <v>4</v>
      </c>
      <c r="F3" s="55" t="s">
        <v>4</v>
      </c>
      <c r="G3" s="55" t="s">
        <v>4</v>
      </c>
      <c r="H3" s="55" t="s">
        <v>4</v>
      </c>
      <c r="I3" s="55" t="s">
        <v>4</v>
      </c>
      <c r="J3" s="55" t="s">
        <v>4</v>
      </c>
      <c r="K3" s="55" t="s">
        <v>4</v>
      </c>
      <c r="L3" s="55" t="s">
        <v>4</v>
      </c>
      <c r="M3" s="55" t="s">
        <v>4</v>
      </c>
      <c r="N3" s="55" t="s">
        <v>4</v>
      </c>
      <c r="O3" s="54" t="s">
        <v>4</v>
      </c>
      <c r="P3" s="54" t="s">
        <v>4</v>
      </c>
      <c r="Q3" s="5"/>
      <c r="R3" s="17"/>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79" x14ac:dyDescent="0.2">
      <c r="A4" s="2"/>
      <c r="B4" s="5"/>
      <c r="C4" s="55" t="s">
        <v>8</v>
      </c>
      <c r="D4" s="55" t="s">
        <v>8</v>
      </c>
      <c r="E4" s="55" t="s">
        <v>8</v>
      </c>
      <c r="F4" s="55" t="s">
        <v>8</v>
      </c>
      <c r="G4" s="55" t="s">
        <v>8</v>
      </c>
      <c r="H4" s="55" t="s">
        <v>8</v>
      </c>
      <c r="I4" s="55" t="s">
        <v>8</v>
      </c>
      <c r="J4" s="55" t="s">
        <v>8</v>
      </c>
      <c r="K4" s="55" t="s">
        <v>8</v>
      </c>
      <c r="L4" s="55" t="s">
        <v>8</v>
      </c>
      <c r="M4" s="55" t="s">
        <v>8</v>
      </c>
      <c r="N4" s="55" t="s">
        <v>8</v>
      </c>
      <c r="O4" s="54" t="s">
        <v>8</v>
      </c>
      <c r="P4" s="54" t="s">
        <v>8</v>
      </c>
      <c r="Q4" s="5"/>
      <c r="R4" s="17"/>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79" ht="19" x14ac:dyDescent="0.25">
      <c r="A5" s="2"/>
      <c r="B5" s="5"/>
      <c r="C5" s="59" t="s">
        <v>11</v>
      </c>
      <c r="D5" s="59" t="s">
        <v>11</v>
      </c>
      <c r="E5" s="59" t="s">
        <v>11</v>
      </c>
      <c r="F5" s="59" t="s">
        <v>11</v>
      </c>
      <c r="G5" s="59" t="s">
        <v>11</v>
      </c>
      <c r="H5" s="59" t="s">
        <v>11</v>
      </c>
      <c r="I5" s="59" t="s">
        <v>11</v>
      </c>
      <c r="J5" s="59" t="s">
        <v>11</v>
      </c>
      <c r="K5" s="59" t="s">
        <v>11</v>
      </c>
      <c r="L5" s="59" t="s">
        <v>11</v>
      </c>
      <c r="M5" s="59" t="s">
        <v>11</v>
      </c>
      <c r="N5" s="59" t="s">
        <v>11</v>
      </c>
      <c r="O5" s="54" t="s">
        <v>11</v>
      </c>
      <c r="P5" s="54" t="s">
        <v>11</v>
      </c>
      <c r="Q5" s="5"/>
      <c r="R5" s="17"/>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row>
    <row r="6" spans="1:79" x14ac:dyDescent="0.2">
      <c r="A6" s="2"/>
      <c r="B6" s="5"/>
      <c r="C6" s="5"/>
      <c r="D6" s="5"/>
      <c r="E6" s="5"/>
      <c r="F6" s="5"/>
      <c r="G6" s="5"/>
      <c r="H6" s="5"/>
      <c r="I6" s="5"/>
      <c r="J6" s="5"/>
      <c r="K6" s="5"/>
      <c r="L6" s="5"/>
      <c r="M6" s="5"/>
      <c r="N6" s="5"/>
      <c r="O6" s="5"/>
      <c r="P6" s="5"/>
      <c r="Q6" s="5"/>
      <c r="R6" s="17"/>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row>
    <row r="7" spans="1:79" ht="19" x14ac:dyDescent="0.25">
      <c r="A7" s="2"/>
      <c r="B7" s="5"/>
      <c r="C7" s="59" t="s">
        <v>221</v>
      </c>
      <c r="D7" s="59" t="s">
        <v>221</v>
      </c>
      <c r="E7" s="59" t="s">
        <v>221</v>
      </c>
      <c r="F7" s="59" t="s">
        <v>221</v>
      </c>
      <c r="G7" s="59" t="s">
        <v>221</v>
      </c>
      <c r="H7" s="59" t="s">
        <v>221</v>
      </c>
      <c r="I7" s="59" t="s">
        <v>221</v>
      </c>
      <c r="J7" s="59" t="s">
        <v>221</v>
      </c>
      <c r="K7" s="59" t="s">
        <v>221</v>
      </c>
      <c r="L7" s="59" t="s">
        <v>221</v>
      </c>
      <c r="M7" s="59" t="s">
        <v>221</v>
      </c>
      <c r="N7" s="59" t="s">
        <v>221</v>
      </c>
      <c r="O7" s="54" t="s">
        <v>221</v>
      </c>
      <c r="P7" s="54" t="s">
        <v>221</v>
      </c>
      <c r="Q7" s="5"/>
      <c r="R7" s="17"/>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row>
    <row r="8" spans="1:79" x14ac:dyDescent="0.2">
      <c r="A8" s="2"/>
      <c r="B8" s="5"/>
      <c r="C8" s="5"/>
      <c r="D8" s="5"/>
      <c r="E8" s="5"/>
      <c r="F8" s="5"/>
      <c r="G8" s="5"/>
      <c r="H8" s="5"/>
      <c r="I8" s="5"/>
      <c r="J8" s="5"/>
      <c r="K8" s="5"/>
      <c r="L8" s="5"/>
      <c r="M8" s="5"/>
      <c r="N8" s="5"/>
      <c r="O8" s="5"/>
      <c r="P8" s="5"/>
      <c r="Q8" s="5"/>
      <c r="R8" s="17"/>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row>
    <row r="9" spans="1:79" x14ac:dyDescent="0.2">
      <c r="A9" s="2"/>
      <c r="B9" s="5"/>
      <c r="C9" s="52" t="s">
        <v>18</v>
      </c>
      <c r="D9" s="52" t="s">
        <v>18</v>
      </c>
      <c r="E9" s="5"/>
      <c r="F9" s="5"/>
      <c r="G9" s="5"/>
      <c r="H9" s="5"/>
      <c r="I9" s="5"/>
      <c r="J9" s="5"/>
      <c r="K9" s="5"/>
      <c r="L9" s="5"/>
      <c r="M9" s="5"/>
      <c r="N9" s="60" t="s">
        <v>27</v>
      </c>
      <c r="O9" s="60" t="s">
        <v>27</v>
      </c>
      <c r="P9" s="60" t="s">
        <v>27</v>
      </c>
      <c r="Q9" s="5"/>
      <c r="R9" s="17"/>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row>
    <row r="10" spans="1:79" x14ac:dyDescent="0.2">
      <c r="A10" s="2"/>
      <c r="B10" s="5"/>
      <c r="C10" s="5"/>
      <c r="D10" s="5"/>
      <c r="E10" s="5"/>
      <c r="F10" s="5"/>
      <c r="G10" s="5"/>
      <c r="H10" s="5"/>
      <c r="I10" s="5"/>
      <c r="J10" s="5"/>
      <c r="K10" s="5"/>
      <c r="L10" s="5"/>
      <c r="M10" s="5"/>
      <c r="N10" s="5"/>
      <c r="O10" s="5"/>
      <c r="P10" s="5"/>
      <c r="Q10" s="5"/>
      <c r="R10" s="17"/>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row>
    <row r="11" spans="1:79" x14ac:dyDescent="0.2">
      <c r="A11" s="2"/>
      <c r="B11" s="5"/>
      <c r="C11" s="52" t="s">
        <v>23</v>
      </c>
      <c r="D11" s="52" t="s">
        <v>23</v>
      </c>
      <c r="E11" s="52" t="s">
        <v>23</v>
      </c>
      <c r="F11" s="52" t="s">
        <v>23</v>
      </c>
      <c r="G11" s="52" t="s">
        <v>23</v>
      </c>
      <c r="H11" s="52" t="s">
        <v>23</v>
      </c>
      <c r="I11" s="52" t="s">
        <v>23</v>
      </c>
      <c r="J11" s="52" t="s">
        <v>23</v>
      </c>
      <c r="K11" s="52" t="s">
        <v>23</v>
      </c>
      <c r="L11" s="5"/>
      <c r="M11" s="5"/>
      <c r="N11" s="52" t="s">
        <v>222</v>
      </c>
      <c r="O11" s="52" t="s">
        <v>222</v>
      </c>
      <c r="P11" s="30" t="s">
        <v>219</v>
      </c>
      <c r="Q11" s="5"/>
      <c r="R11" s="17"/>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row>
    <row r="12" spans="1:79" x14ac:dyDescent="0.2">
      <c r="A12" s="2"/>
      <c r="B12" s="5"/>
      <c r="C12" s="5"/>
      <c r="D12" s="5"/>
      <c r="E12" s="5"/>
      <c r="F12" s="5"/>
      <c r="G12" s="5"/>
      <c r="H12" s="5"/>
      <c r="I12" s="5"/>
      <c r="J12" s="5"/>
      <c r="K12" s="5"/>
      <c r="L12" s="5"/>
      <c r="M12" s="5"/>
      <c r="N12" s="5"/>
      <c r="O12" s="5"/>
      <c r="P12" s="5"/>
      <c r="Q12" s="5"/>
      <c r="R12" s="17"/>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row>
    <row r="13" spans="1:79" x14ac:dyDescent="0.2">
      <c r="A13" s="2"/>
      <c r="B13" s="5"/>
      <c r="C13" s="8" t="s">
        <v>26</v>
      </c>
      <c r="D13" s="52" t="s">
        <v>7</v>
      </c>
      <c r="E13" s="52" t="s">
        <v>7</v>
      </c>
      <c r="F13" s="52" t="s">
        <v>7</v>
      </c>
      <c r="G13" s="52" t="s">
        <v>7</v>
      </c>
      <c r="H13" s="52" t="s">
        <v>7</v>
      </c>
      <c r="I13" s="52" t="s">
        <v>7</v>
      </c>
      <c r="J13" s="52" t="s">
        <v>7</v>
      </c>
      <c r="K13" s="5"/>
      <c r="L13" s="5"/>
      <c r="M13" s="5"/>
      <c r="N13" s="60" t="s">
        <v>223</v>
      </c>
      <c r="O13" s="54"/>
      <c r="P13" s="30" t="s">
        <v>224</v>
      </c>
      <c r="Q13" s="15" t="s">
        <v>225</v>
      </c>
      <c r="R13" s="17"/>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row>
    <row r="14" spans="1:79" x14ac:dyDescent="0.2">
      <c r="A14" s="2"/>
      <c r="B14" s="5"/>
      <c r="C14" s="5"/>
      <c r="D14" s="5"/>
      <c r="E14" s="5"/>
      <c r="F14" s="5"/>
      <c r="G14" s="5"/>
      <c r="H14" s="5"/>
      <c r="I14" s="5"/>
      <c r="J14" s="5"/>
      <c r="K14" s="5"/>
      <c r="L14" s="5"/>
      <c r="M14" s="5"/>
      <c r="N14" s="5"/>
      <c r="O14" s="5"/>
      <c r="P14" s="5"/>
      <c r="Q14" s="5"/>
      <c r="R14" s="17"/>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row>
    <row r="15" spans="1:79" x14ac:dyDescent="0.2">
      <c r="A15" s="2"/>
      <c r="B15" s="5"/>
      <c r="C15" s="61" t="s">
        <v>226</v>
      </c>
      <c r="D15" s="54"/>
      <c r="E15" s="31"/>
      <c r="F15" s="31"/>
      <c r="G15" s="31"/>
      <c r="H15" s="31"/>
      <c r="I15" s="31"/>
      <c r="J15" s="31"/>
      <c r="K15" s="31"/>
      <c r="L15" s="31"/>
      <c r="M15" s="31"/>
      <c r="N15" s="31"/>
      <c r="O15" s="5"/>
      <c r="P15" s="5"/>
      <c r="Q15" s="5"/>
      <c r="R15" s="17"/>
      <c r="S15" s="1"/>
      <c r="T15" s="1"/>
      <c r="U15" s="1"/>
      <c r="V15" s="1"/>
      <c r="W15" s="1"/>
      <c r="X15" s="1"/>
      <c r="Y15" s="1"/>
      <c r="Z15" s="1"/>
      <c r="AA15" s="1"/>
      <c r="AB15" s="1"/>
      <c r="AC15" s="1"/>
      <c r="AD15" s="1"/>
      <c r="AE15" s="1">
        <f t="shared" ref="AE15:AN15" si="0">IF(E15="X", 1, 0)</f>
        <v>0</v>
      </c>
      <c r="AF15" s="1">
        <f t="shared" si="0"/>
        <v>0</v>
      </c>
      <c r="AG15" s="1">
        <f t="shared" si="0"/>
        <v>0</v>
      </c>
      <c r="AH15" s="1">
        <f t="shared" si="0"/>
        <v>0</v>
      </c>
      <c r="AI15" s="1">
        <f t="shared" si="0"/>
        <v>0</v>
      </c>
      <c r="AJ15" s="1">
        <f t="shared" si="0"/>
        <v>0</v>
      </c>
      <c r="AK15" s="1">
        <f t="shared" si="0"/>
        <v>0</v>
      </c>
      <c r="AL15" s="1">
        <f t="shared" si="0"/>
        <v>0</v>
      </c>
      <c r="AM15" s="1">
        <f t="shared" si="0"/>
        <v>0</v>
      </c>
      <c r="AN15" s="1">
        <f t="shared" si="0"/>
        <v>0</v>
      </c>
      <c r="AO15" s="1">
        <f>SUM(AE15:AN15)</f>
        <v>0</v>
      </c>
      <c r="AP15" s="1"/>
      <c r="AQ15" s="1"/>
      <c r="AR15" s="1"/>
      <c r="AS15" s="1"/>
      <c r="AT15" s="1"/>
      <c r="AU15" s="1"/>
      <c r="AV15" s="1"/>
      <c r="AW15" s="1"/>
      <c r="AX15" s="1"/>
      <c r="AY15" s="1"/>
      <c r="AZ15" s="1"/>
    </row>
    <row r="16" spans="1:79" x14ac:dyDescent="0.2">
      <c r="A16" s="2"/>
      <c r="B16" s="5"/>
      <c r="C16" s="5"/>
      <c r="D16" s="5"/>
      <c r="E16" s="11"/>
      <c r="F16" s="11"/>
      <c r="G16" s="11"/>
      <c r="H16" s="11"/>
      <c r="I16" s="11"/>
      <c r="J16" s="11"/>
      <c r="K16" s="11"/>
      <c r="L16" s="11"/>
      <c r="M16" s="11"/>
      <c r="N16" s="11"/>
      <c r="O16" s="5"/>
      <c r="P16" s="5"/>
      <c r="Q16" s="5"/>
      <c r="R16" s="17"/>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row>
    <row r="17" spans="1:90" x14ac:dyDescent="0.2">
      <c r="A17" s="2"/>
      <c r="B17" s="5"/>
      <c r="C17" s="8" t="s">
        <v>33</v>
      </c>
      <c r="D17" s="8" t="s">
        <v>34</v>
      </c>
      <c r="E17" s="6" t="s">
        <v>227</v>
      </c>
      <c r="F17" s="6" t="s">
        <v>228</v>
      </c>
      <c r="G17" s="6" t="s">
        <v>229</v>
      </c>
      <c r="H17" s="6" t="s">
        <v>230</v>
      </c>
      <c r="I17" s="6" t="s">
        <v>231</v>
      </c>
      <c r="J17" s="6" t="s">
        <v>232</v>
      </c>
      <c r="K17" s="6" t="s">
        <v>233</v>
      </c>
      <c r="L17" s="6" t="s">
        <v>234</v>
      </c>
      <c r="M17" s="6" t="s">
        <v>235</v>
      </c>
      <c r="N17" s="6" t="s">
        <v>236</v>
      </c>
      <c r="O17" s="6" t="s">
        <v>39</v>
      </c>
      <c r="P17" s="6" t="s">
        <v>237</v>
      </c>
      <c r="Q17" s="6" t="s">
        <v>238</v>
      </c>
      <c r="R17" s="17"/>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row>
    <row r="18" spans="1:90" x14ac:dyDescent="0.2">
      <c r="A18" s="2"/>
      <c r="B18" s="5"/>
      <c r="C18" s="9" t="s">
        <v>42</v>
      </c>
      <c r="D18" s="9" t="s">
        <v>43</v>
      </c>
      <c r="E18" s="32"/>
      <c r="F18" s="32"/>
      <c r="G18" s="32"/>
      <c r="H18" s="32"/>
      <c r="I18" s="32"/>
      <c r="J18" s="32"/>
      <c r="K18" s="32"/>
      <c r="L18" s="32"/>
      <c r="M18" s="32"/>
      <c r="N18" s="32"/>
      <c r="O18" s="14" t="e">
        <f t="shared" ref="O18:O51" ca="1" si="1" xml:space="preserve"> CB18</f>
        <v>#REF!</v>
      </c>
      <c r="P18" s="14" t="e">
        <f ca="1">(O18*100)/P11</f>
        <v>#REF!</v>
      </c>
      <c r="Q18" s="12"/>
      <c r="R18" s="17"/>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CB18" t="e">
        <f t="array" ref="CB18:CL18" ca="1">SUM(LARGE(IF(ISNUMBER(E18:N18),E18:N18*$AE$15:$AN$15,0),ROW(INDIRECT(CONCATENATE("1:"&amp;$P$13)))))+IF(($P$13-$AO$15)&gt;0,SUM(LARGE(IF(ISNUMBER(E18:N18),IF($AE$15:$AN$15=0,E18:N18,0),0),ROW(INDIRECT(CONCATENATE("1:"&amp;$P$13-$AO$15))))),0)</f>
        <v>#REF!</v>
      </c>
      <c r="CC18" t="e">
        <f ca="1"/>
        <v>#REF!</v>
      </c>
      <c r="CD18" t="e">
        <f ca="1"/>
        <v>#REF!</v>
      </c>
      <c r="CE18" t="e">
        <f ca="1"/>
        <v>#REF!</v>
      </c>
      <c r="CF18" t="e">
        <f ca="1"/>
        <v>#REF!</v>
      </c>
      <c r="CG18" t="e">
        <f ca="1"/>
        <v>#REF!</v>
      </c>
      <c r="CH18" t="e">
        <f ca="1"/>
        <v>#REF!</v>
      </c>
      <c r="CI18" t="e">
        <f ca="1"/>
        <v>#REF!</v>
      </c>
      <c r="CJ18" t="e">
        <f ca="1"/>
        <v>#REF!</v>
      </c>
      <c r="CK18" t="e">
        <f ca="1"/>
        <v>#REF!</v>
      </c>
      <c r="CL18" t="e">
        <f ca="1"/>
        <v>#REF!</v>
      </c>
    </row>
    <row r="19" spans="1:90" x14ac:dyDescent="0.2">
      <c r="A19" s="2"/>
      <c r="B19" s="5"/>
      <c r="C19" s="9" t="s">
        <v>47</v>
      </c>
      <c r="D19" s="9" t="s">
        <v>48</v>
      </c>
      <c r="E19" s="32"/>
      <c r="F19" s="32"/>
      <c r="G19" s="32"/>
      <c r="H19" s="32"/>
      <c r="I19" s="32"/>
      <c r="J19" s="32"/>
      <c r="K19" s="32"/>
      <c r="L19" s="32"/>
      <c r="M19" s="32"/>
      <c r="N19" s="32"/>
      <c r="O19" s="14" t="e">
        <f t="shared" ca="1" si="1"/>
        <v>#REF!</v>
      </c>
      <c r="P19" s="14" t="e">
        <f ca="1">(O19*100)/P11</f>
        <v>#REF!</v>
      </c>
      <c r="Q19" s="12"/>
      <c r="R19" s="17"/>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CB19" t="e">
        <f t="array" ref="CB19:CL19" ca="1">SUM(LARGE(IF(ISNUMBER(E19:N19),E19:N19*$AE$15:$AN$15,0),ROW(INDIRECT(CONCATENATE("1:"&amp;$P$13)))))+IF(($P$13-$AO$15)&gt;0,SUM(LARGE(IF(ISNUMBER(E19:N19),IF($AE$15:$AN$15=0,E19:N19,0),0),ROW(INDIRECT(CONCATENATE("1:"&amp;$P$13-$AO$15))))),0)</f>
        <v>#REF!</v>
      </c>
      <c r="CC19" t="e">
        <f ca="1"/>
        <v>#REF!</v>
      </c>
      <c r="CD19" t="e">
        <f ca="1"/>
        <v>#REF!</v>
      </c>
      <c r="CE19" t="e">
        <f ca="1"/>
        <v>#REF!</v>
      </c>
      <c r="CF19" t="e">
        <f ca="1"/>
        <v>#REF!</v>
      </c>
      <c r="CG19" t="e">
        <f ca="1"/>
        <v>#REF!</v>
      </c>
      <c r="CH19" t="e">
        <f ca="1"/>
        <v>#REF!</v>
      </c>
      <c r="CI19" t="e">
        <f ca="1"/>
        <v>#REF!</v>
      </c>
      <c r="CJ19" t="e">
        <f ca="1"/>
        <v>#REF!</v>
      </c>
      <c r="CK19" t="e">
        <f ca="1"/>
        <v>#REF!</v>
      </c>
      <c r="CL19" t="e">
        <f ca="1"/>
        <v>#REF!</v>
      </c>
    </row>
    <row r="20" spans="1:90" x14ac:dyDescent="0.2">
      <c r="A20" s="2"/>
      <c r="B20" s="5"/>
      <c r="C20" s="9" t="s">
        <v>50</v>
      </c>
      <c r="D20" s="9" t="s">
        <v>51</v>
      </c>
      <c r="E20" s="32"/>
      <c r="F20" s="32"/>
      <c r="G20" s="32"/>
      <c r="H20" s="32"/>
      <c r="I20" s="32"/>
      <c r="J20" s="32"/>
      <c r="K20" s="32"/>
      <c r="L20" s="32"/>
      <c r="M20" s="32"/>
      <c r="N20" s="32"/>
      <c r="O20" s="14" t="e">
        <f t="shared" ca="1" si="1"/>
        <v>#REF!</v>
      </c>
      <c r="P20" s="14" t="e">
        <f ca="1">(O20*100)/P11</f>
        <v>#REF!</v>
      </c>
      <c r="Q20" s="12"/>
      <c r="R20" s="17"/>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CB20" t="e">
        <f t="array" ref="CB20:CL20" ca="1">SUM(LARGE(IF(ISNUMBER(E20:N20),E20:N20*$AE$15:$AN$15,0),ROW(INDIRECT(CONCATENATE("1:"&amp;$P$13)))))+IF(($P$13-$AO$15)&gt;0,SUM(LARGE(IF(ISNUMBER(E20:N20),IF($AE$15:$AN$15=0,E20:N20,0),0),ROW(INDIRECT(CONCATENATE("1:"&amp;$P$13-$AO$15))))),0)</f>
        <v>#REF!</v>
      </c>
      <c r="CC20" t="e">
        <f ca="1"/>
        <v>#REF!</v>
      </c>
      <c r="CD20" t="e">
        <f ca="1"/>
        <v>#REF!</v>
      </c>
      <c r="CE20" t="e">
        <f ca="1"/>
        <v>#REF!</v>
      </c>
      <c r="CF20" t="e">
        <f ca="1"/>
        <v>#REF!</v>
      </c>
      <c r="CG20" t="e">
        <f ca="1"/>
        <v>#REF!</v>
      </c>
      <c r="CH20" t="e">
        <f ca="1"/>
        <v>#REF!</v>
      </c>
      <c r="CI20" t="e">
        <f ca="1"/>
        <v>#REF!</v>
      </c>
      <c r="CJ20" t="e">
        <f ca="1"/>
        <v>#REF!</v>
      </c>
      <c r="CK20" t="e">
        <f ca="1"/>
        <v>#REF!</v>
      </c>
      <c r="CL20" t="e">
        <f ca="1"/>
        <v>#REF!</v>
      </c>
    </row>
    <row r="21" spans="1:90" x14ac:dyDescent="0.2">
      <c r="A21" s="2"/>
      <c r="B21" s="5"/>
      <c r="C21" s="9" t="s">
        <v>53</v>
      </c>
      <c r="D21" s="9" t="s">
        <v>54</v>
      </c>
      <c r="E21" s="32"/>
      <c r="F21" s="32"/>
      <c r="G21" s="32"/>
      <c r="H21" s="32"/>
      <c r="I21" s="32"/>
      <c r="J21" s="32"/>
      <c r="K21" s="32"/>
      <c r="L21" s="32"/>
      <c r="M21" s="32"/>
      <c r="N21" s="32"/>
      <c r="O21" s="14" t="e">
        <f t="shared" ca="1" si="1"/>
        <v>#REF!</v>
      </c>
      <c r="P21" s="14" t="e">
        <f ca="1">(O21*100)/P11</f>
        <v>#REF!</v>
      </c>
      <c r="Q21" s="12"/>
      <c r="R21" s="17"/>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CB21" t="e">
        <f t="array" ref="CB21:CL21" ca="1">SUM(LARGE(IF(ISNUMBER(E21:N21),E21:N21*$AE$15:$AN$15,0),ROW(INDIRECT(CONCATENATE("1:"&amp;$P$13)))))+IF(($P$13-$AO$15)&gt;0,SUM(LARGE(IF(ISNUMBER(E21:N21),IF($AE$15:$AN$15=0,E21:N21,0),0),ROW(INDIRECT(CONCATENATE("1:"&amp;$P$13-$AO$15))))),0)</f>
        <v>#REF!</v>
      </c>
      <c r="CC21" t="e">
        <f ca="1"/>
        <v>#REF!</v>
      </c>
      <c r="CD21" t="e">
        <f ca="1"/>
        <v>#REF!</v>
      </c>
      <c r="CE21" t="e">
        <f ca="1"/>
        <v>#REF!</v>
      </c>
      <c r="CF21" t="e">
        <f ca="1"/>
        <v>#REF!</v>
      </c>
      <c r="CG21" t="e">
        <f ca="1"/>
        <v>#REF!</v>
      </c>
      <c r="CH21" t="e">
        <f ca="1"/>
        <v>#REF!</v>
      </c>
      <c r="CI21" t="e">
        <f ca="1"/>
        <v>#REF!</v>
      </c>
      <c r="CJ21" t="e">
        <f ca="1"/>
        <v>#REF!</v>
      </c>
      <c r="CK21" t="e">
        <f ca="1"/>
        <v>#REF!</v>
      </c>
      <c r="CL21" t="e">
        <f ca="1"/>
        <v>#REF!</v>
      </c>
    </row>
    <row r="22" spans="1:90" x14ac:dyDescent="0.2">
      <c r="A22" s="2"/>
      <c r="B22" s="5"/>
      <c r="C22" s="9" t="s">
        <v>56</v>
      </c>
      <c r="D22" s="9" t="s">
        <v>57</v>
      </c>
      <c r="E22" s="32"/>
      <c r="F22" s="32"/>
      <c r="G22" s="32"/>
      <c r="H22" s="32"/>
      <c r="I22" s="32"/>
      <c r="J22" s="32"/>
      <c r="K22" s="32"/>
      <c r="L22" s="32"/>
      <c r="M22" s="32"/>
      <c r="N22" s="32"/>
      <c r="O22" s="14" t="e">
        <f t="shared" ca="1" si="1"/>
        <v>#REF!</v>
      </c>
      <c r="P22" s="14" t="e">
        <f ca="1">(O22*100)/P11</f>
        <v>#REF!</v>
      </c>
      <c r="Q22" s="12"/>
      <c r="R22" s="17"/>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CB22" t="e">
        <f t="array" ref="CB22:CL22" ca="1">SUM(LARGE(IF(ISNUMBER(E22:N22),E22:N22*$AE$15:$AN$15,0),ROW(INDIRECT(CONCATENATE("1:"&amp;$P$13)))))+IF(($P$13-$AO$15)&gt;0,SUM(LARGE(IF(ISNUMBER(E22:N22),IF($AE$15:$AN$15=0,E22:N22,0),0),ROW(INDIRECT(CONCATENATE("1:"&amp;$P$13-$AO$15))))),0)</f>
        <v>#REF!</v>
      </c>
      <c r="CC22" t="e">
        <f ca="1"/>
        <v>#REF!</v>
      </c>
      <c r="CD22" t="e">
        <f ca="1"/>
        <v>#REF!</v>
      </c>
      <c r="CE22" t="e">
        <f ca="1"/>
        <v>#REF!</v>
      </c>
      <c r="CF22" t="e">
        <f ca="1"/>
        <v>#REF!</v>
      </c>
      <c r="CG22" t="e">
        <f ca="1"/>
        <v>#REF!</v>
      </c>
      <c r="CH22" t="e">
        <f ca="1"/>
        <v>#REF!</v>
      </c>
      <c r="CI22" t="e">
        <f ca="1"/>
        <v>#REF!</v>
      </c>
      <c r="CJ22" t="e">
        <f ca="1"/>
        <v>#REF!</v>
      </c>
      <c r="CK22" t="e">
        <f ca="1"/>
        <v>#REF!</v>
      </c>
      <c r="CL22" t="e">
        <f ca="1"/>
        <v>#REF!</v>
      </c>
    </row>
    <row r="23" spans="1:90" x14ac:dyDescent="0.2">
      <c r="A23" s="2"/>
      <c r="B23" s="5"/>
      <c r="C23" s="9" t="s">
        <v>59</v>
      </c>
      <c r="D23" s="9" t="s">
        <v>60</v>
      </c>
      <c r="E23" s="32"/>
      <c r="F23" s="32"/>
      <c r="G23" s="32"/>
      <c r="H23" s="32"/>
      <c r="I23" s="32"/>
      <c r="J23" s="32"/>
      <c r="K23" s="32"/>
      <c r="L23" s="32"/>
      <c r="M23" s="32"/>
      <c r="N23" s="32"/>
      <c r="O23" s="14" t="e">
        <f t="shared" ca="1" si="1"/>
        <v>#REF!</v>
      </c>
      <c r="P23" s="14" t="e">
        <f ca="1">(O23*100)/P11</f>
        <v>#REF!</v>
      </c>
      <c r="Q23" s="12"/>
      <c r="R23" s="17"/>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CB23" t="e">
        <f t="array" ref="CB23:CL23" ca="1">SUM(LARGE(IF(ISNUMBER(E23:N23),E23:N23*$AE$15:$AN$15,0),ROW(INDIRECT(CONCATENATE("1:"&amp;$P$13)))))+IF(($P$13-$AO$15)&gt;0,SUM(LARGE(IF(ISNUMBER(E23:N23),IF($AE$15:$AN$15=0,E23:N23,0),0),ROW(INDIRECT(CONCATENATE("1:"&amp;$P$13-$AO$15))))),0)</f>
        <v>#REF!</v>
      </c>
      <c r="CC23" t="e">
        <f ca="1"/>
        <v>#REF!</v>
      </c>
      <c r="CD23" t="e">
        <f ca="1"/>
        <v>#REF!</v>
      </c>
      <c r="CE23" t="e">
        <f ca="1"/>
        <v>#REF!</v>
      </c>
      <c r="CF23" t="e">
        <f ca="1"/>
        <v>#REF!</v>
      </c>
      <c r="CG23" t="e">
        <f ca="1"/>
        <v>#REF!</v>
      </c>
      <c r="CH23" t="e">
        <f ca="1"/>
        <v>#REF!</v>
      </c>
      <c r="CI23" t="e">
        <f ca="1"/>
        <v>#REF!</v>
      </c>
      <c r="CJ23" t="e">
        <f ca="1"/>
        <v>#REF!</v>
      </c>
      <c r="CK23" t="e">
        <f ca="1"/>
        <v>#REF!</v>
      </c>
      <c r="CL23" t="e">
        <f ca="1"/>
        <v>#REF!</v>
      </c>
    </row>
    <row r="24" spans="1:90" x14ac:dyDescent="0.2">
      <c r="A24" s="2"/>
      <c r="B24" s="5"/>
      <c r="C24" s="9" t="s">
        <v>62</v>
      </c>
      <c r="D24" s="9" t="s">
        <v>63</v>
      </c>
      <c r="E24" s="32"/>
      <c r="F24" s="32"/>
      <c r="G24" s="32"/>
      <c r="H24" s="32"/>
      <c r="I24" s="32"/>
      <c r="J24" s="32"/>
      <c r="K24" s="32"/>
      <c r="L24" s="32"/>
      <c r="M24" s="32"/>
      <c r="N24" s="32"/>
      <c r="O24" s="14" t="e">
        <f t="shared" ca="1" si="1"/>
        <v>#REF!</v>
      </c>
      <c r="P24" s="14" t="e">
        <f ca="1">(O24*100)/P11</f>
        <v>#REF!</v>
      </c>
      <c r="Q24" s="12"/>
      <c r="R24" s="17"/>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CB24" t="e">
        <f t="array" ref="CB24:CL24" ca="1">SUM(LARGE(IF(ISNUMBER(E24:N24),E24:N24*$AE$15:$AN$15,0),ROW(INDIRECT(CONCATENATE("1:"&amp;$P$13)))))+IF(($P$13-$AO$15)&gt;0,SUM(LARGE(IF(ISNUMBER(E24:N24),IF($AE$15:$AN$15=0,E24:N24,0),0),ROW(INDIRECT(CONCATENATE("1:"&amp;$P$13-$AO$15))))),0)</f>
        <v>#REF!</v>
      </c>
      <c r="CC24" t="e">
        <f ca="1"/>
        <v>#REF!</v>
      </c>
      <c r="CD24" t="e">
        <f ca="1"/>
        <v>#REF!</v>
      </c>
      <c r="CE24" t="e">
        <f ca="1"/>
        <v>#REF!</v>
      </c>
      <c r="CF24" t="e">
        <f ca="1"/>
        <v>#REF!</v>
      </c>
      <c r="CG24" t="e">
        <f ca="1"/>
        <v>#REF!</v>
      </c>
      <c r="CH24" t="e">
        <f ca="1"/>
        <v>#REF!</v>
      </c>
      <c r="CI24" t="e">
        <f ca="1"/>
        <v>#REF!</v>
      </c>
      <c r="CJ24" t="e">
        <f ca="1"/>
        <v>#REF!</v>
      </c>
      <c r="CK24" t="e">
        <f ca="1"/>
        <v>#REF!</v>
      </c>
      <c r="CL24" t="e">
        <f ca="1"/>
        <v>#REF!</v>
      </c>
    </row>
    <row r="25" spans="1:90" x14ac:dyDescent="0.2">
      <c r="A25" s="2"/>
      <c r="B25" s="5"/>
      <c r="C25" s="9" t="s">
        <v>65</v>
      </c>
      <c r="D25" s="9" t="s">
        <v>66</v>
      </c>
      <c r="E25" s="32"/>
      <c r="F25" s="32"/>
      <c r="G25" s="32"/>
      <c r="H25" s="32"/>
      <c r="I25" s="32"/>
      <c r="J25" s="32"/>
      <c r="K25" s="32"/>
      <c r="L25" s="32"/>
      <c r="M25" s="32"/>
      <c r="N25" s="32"/>
      <c r="O25" s="14" t="e">
        <f t="shared" ca="1" si="1"/>
        <v>#REF!</v>
      </c>
      <c r="P25" s="14" t="e">
        <f ca="1">(O25*100)/P11</f>
        <v>#REF!</v>
      </c>
      <c r="Q25" s="12"/>
      <c r="R25" s="17"/>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CB25" t="e">
        <f t="array" ref="CB25:CL25" ca="1">SUM(LARGE(IF(ISNUMBER(E25:N25),E25:N25*$AE$15:$AN$15,0),ROW(INDIRECT(CONCATENATE("1:"&amp;$P$13)))))+IF(($P$13-$AO$15)&gt;0,SUM(LARGE(IF(ISNUMBER(E25:N25),IF($AE$15:$AN$15=0,E25:N25,0),0),ROW(INDIRECT(CONCATENATE("1:"&amp;$P$13-$AO$15))))),0)</f>
        <v>#REF!</v>
      </c>
      <c r="CC25" t="e">
        <f ca="1"/>
        <v>#REF!</v>
      </c>
      <c r="CD25" t="e">
        <f ca="1"/>
        <v>#REF!</v>
      </c>
      <c r="CE25" t="e">
        <f ca="1"/>
        <v>#REF!</v>
      </c>
      <c r="CF25" t="e">
        <f ca="1"/>
        <v>#REF!</v>
      </c>
      <c r="CG25" t="e">
        <f ca="1"/>
        <v>#REF!</v>
      </c>
      <c r="CH25" t="e">
        <f ca="1"/>
        <v>#REF!</v>
      </c>
      <c r="CI25" t="e">
        <f ca="1"/>
        <v>#REF!</v>
      </c>
      <c r="CJ25" t="e">
        <f ca="1"/>
        <v>#REF!</v>
      </c>
      <c r="CK25" t="e">
        <f ca="1"/>
        <v>#REF!</v>
      </c>
      <c r="CL25" t="e">
        <f ca="1"/>
        <v>#REF!</v>
      </c>
    </row>
    <row r="26" spans="1:90" x14ac:dyDescent="0.2">
      <c r="A26" s="2"/>
      <c r="B26" s="5"/>
      <c r="C26" s="9" t="s">
        <v>68</v>
      </c>
      <c r="D26" s="9" t="s">
        <v>69</v>
      </c>
      <c r="E26" s="32"/>
      <c r="F26" s="32"/>
      <c r="G26" s="32"/>
      <c r="H26" s="32"/>
      <c r="I26" s="32"/>
      <c r="J26" s="32"/>
      <c r="K26" s="32"/>
      <c r="L26" s="32"/>
      <c r="M26" s="32"/>
      <c r="N26" s="32"/>
      <c r="O26" s="14" t="e">
        <f t="shared" ca="1" si="1"/>
        <v>#REF!</v>
      </c>
      <c r="P26" s="14" t="e">
        <f ca="1">(O26*100)/P11</f>
        <v>#REF!</v>
      </c>
      <c r="Q26" s="12"/>
      <c r="R26" s="17"/>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CB26" t="e">
        <f t="array" ref="CB26:CL26" ca="1">SUM(LARGE(IF(ISNUMBER(E26:N26),E26:N26*$AE$15:$AN$15,0),ROW(INDIRECT(CONCATENATE("1:"&amp;$P$13)))))+IF(($P$13-$AO$15)&gt;0,SUM(LARGE(IF(ISNUMBER(E26:N26),IF($AE$15:$AN$15=0,E26:N26,0),0),ROW(INDIRECT(CONCATENATE("1:"&amp;$P$13-$AO$15))))),0)</f>
        <v>#REF!</v>
      </c>
      <c r="CC26" t="e">
        <f ca="1"/>
        <v>#REF!</v>
      </c>
      <c r="CD26" t="e">
        <f ca="1"/>
        <v>#REF!</v>
      </c>
      <c r="CE26" t="e">
        <f ca="1"/>
        <v>#REF!</v>
      </c>
      <c r="CF26" t="e">
        <f ca="1"/>
        <v>#REF!</v>
      </c>
      <c r="CG26" t="e">
        <f ca="1"/>
        <v>#REF!</v>
      </c>
      <c r="CH26" t="e">
        <f ca="1"/>
        <v>#REF!</v>
      </c>
      <c r="CI26" t="e">
        <f ca="1"/>
        <v>#REF!</v>
      </c>
      <c r="CJ26" t="e">
        <f ca="1"/>
        <v>#REF!</v>
      </c>
      <c r="CK26" t="e">
        <f ca="1"/>
        <v>#REF!</v>
      </c>
      <c r="CL26" t="e">
        <f ca="1"/>
        <v>#REF!</v>
      </c>
    </row>
    <row r="27" spans="1:90" x14ac:dyDescent="0.2">
      <c r="A27" s="2"/>
      <c r="B27" s="5"/>
      <c r="C27" s="9" t="s">
        <v>71</v>
      </c>
      <c r="D27" s="9" t="s">
        <v>72</v>
      </c>
      <c r="E27" s="32"/>
      <c r="F27" s="32"/>
      <c r="G27" s="32"/>
      <c r="H27" s="32"/>
      <c r="I27" s="32"/>
      <c r="J27" s="32"/>
      <c r="K27" s="32"/>
      <c r="L27" s="32"/>
      <c r="M27" s="32"/>
      <c r="N27" s="32"/>
      <c r="O27" s="14" t="e">
        <f t="shared" ca="1" si="1"/>
        <v>#REF!</v>
      </c>
      <c r="P27" s="14" t="e">
        <f ca="1">(O27*100)/P11</f>
        <v>#REF!</v>
      </c>
      <c r="Q27" s="12"/>
      <c r="R27" s="17"/>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CB27" t="e">
        <f t="array" ref="CB27:CL27" ca="1">SUM(LARGE(IF(ISNUMBER(E27:N27),E27:N27*$AE$15:$AN$15,0),ROW(INDIRECT(CONCATENATE("1:"&amp;$P$13)))))+IF(($P$13-$AO$15)&gt;0,SUM(LARGE(IF(ISNUMBER(E27:N27),IF($AE$15:$AN$15=0,E27:N27,0),0),ROW(INDIRECT(CONCATENATE("1:"&amp;$P$13-$AO$15))))),0)</f>
        <v>#REF!</v>
      </c>
      <c r="CC27" t="e">
        <f ca="1"/>
        <v>#REF!</v>
      </c>
      <c r="CD27" t="e">
        <f ca="1"/>
        <v>#REF!</v>
      </c>
      <c r="CE27" t="e">
        <f ca="1"/>
        <v>#REF!</v>
      </c>
      <c r="CF27" t="e">
        <f ca="1"/>
        <v>#REF!</v>
      </c>
      <c r="CG27" t="e">
        <f ca="1"/>
        <v>#REF!</v>
      </c>
      <c r="CH27" t="e">
        <f ca="1"/>
        <v>#REF!</v>
      </c>
      <c r="CI27" t="e">
        <f ca="1"/>
        <v>#REF!</v>
      </c>
      <c r="CJ27" t="e">
        <f ca="1"/>
        <v>#REF!</v>
      </c>
      <c r="CK27" t="e">
        <f ca="1"/>
        <v>#REF!</v>
      </c>
      <c r="CL27" t="e">
        <f ca="1"/>
        <v>#REF!</v>
      </c>
    </row>
    <row r="28" spans="1:90" x14ac:dyDescent="0.2">
      <c r="A28" s="2"/>
      <c r="B28" s="5"/>
      <c r="C28" s="9" t="s">
        <v>74</v>
      </c>
      <c r="D28" s="9" t="s">
        <v>75</v>
      </c>
      <c r="E28" s="32"/>
      <c r="F28" s="32"/>
      <c r="G28" s="32"/>
      <c r="H28" s="32"/>
      <c r="I28" s="32"/>
      <c r="J28" s="32"/>
      <c r="K28" s="32"/>
      <c r="L28" s="32"/>
      <c r="M28" s="32"/>
      <c r="N28" s="32"/>
      <c r="O28" s="14" t="e">
        <f t="shared" ca="1" si="1"/>
        <v>#REF!</v>
      </c>
      <c r="P28" s="14" t="e">
        <f ca="1">(O28*100)/P11</f>
        <v>#REF!</v>
      </c>
      <c r="Q28" s="12"/>
      <c r="R28" s="17"/>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CB28" t="e">
        <f t="array" ref="CB28:CL28" ca="1">SUM(LARGE(IF(ISNUMBER(E28:N28),E28:N28*$AE$15:$AN$15,0),ROW(INDIRECT(CONCATENATE("1:"&amp;$P$13)))))+IF(($P$13-$AO$15)&gt;0,SUM(LARGE(IF(ISNUMBER(E28:N28),IF($AE$15:$AN$15=0,E28:N28,0),0),ROW(INDIRECT(CONCATENATE("1:"&amp;$P$13-$AO$15))))),0)</f>
        <v>#REF!</v>
      </c>
      <c r="CC28" t="e">
        <f ca="1"/>
        <v>#REF!</v>
      </c>
      <c r="CD28" t="e">
        <f ca="1"/>
        <v>#REF!</v>
      </c>
      <c r="CE28" t="e">
        <f ca="1"/>
        <v>#REF!</v>
      </c>
      <c r="CF28" t="e">
        <f ca="1"/>
        <v>#REF!</v>
      </c>
      <c r="CG28" t="e">
        <f ca="1"/>
        <v>#REF!</v>
      </c>
      <c r="CH28" t="e">
        <f ca="1"/>
        <v>#REF!</v>
      </c>
      <c r="CI28" t="e">
        <f ca="1"/>
        <v>#REF!</v>
      </c>
      <c r="CJ28" t="e">
        <f ca="1"/>
        <v>#REF!</v>
      </c>
      <c r="CK28" t="e">
        <f ca="1"/>
        <v>#REF!</v>
      </c>
      <c r="CL28" t="e">
        <f ca="1"/>
        <v>#REF!</v>
      </c>
    </row>
    <row r="29" spans="1:90" x14ac:dyDescent="0.2">
      <c r="A29" s="2"/>
      <c r="B29" s="5"/>
      <c r="C29" s="9" t="s">
        <v>77</v>
      </c>
      <c r="D29" s="9" t="s">
        <v>78</v>
      </c>
      <c r="E29" s="32"/>
      <c r="F29" s="32"/>
      <c r="G29" s="32"/>
      <c r="H29" s="32"/>
      <c r="I29" s="32"/>
      <c r="J29" s="32"/>
      <c r="K29" s="32"/>
      <c r="L29" s="32"/>
      <c r="M29" s="32"/>
      <c r="N29" s="32"/>
      <c r="O29" s="14" t="e">
        <f t="shared" ca="1" si="1"/>
        <v>#REF!</v>
      </c>
      <c r="P29" s="14" t="e">
        <f ca="1">(O29*100)/P11</f>
        <v>#REF!</v>
      </c>
      <c r="Q29" s="12"/>
      <c r="R29" s="17"/>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CB29" t="e">
        <f t="array" ref="CB29:CL29" ca="1">SUM(LARGE(IF(ISNUMBER(E29:N29),E29:N29*$AE$15:$AN$15,0),ROW(INDIRECT(CONCATENATE("1:"&amp;$P$13)))))+IF(($P$13-$AO$15)&gt;0,SUM(LARGE(IF(ISNUMBER(E29:N29),IF($AE$15:$AN$15=0,E29:N29,0),0),ROW(INDIRECT(CONCATENATE("1:"&amp;$P$13-$AO$15))))),0)</f>
        <v>#REF!</v>
      </c>
      <c r="CC29" t="e">
        <f ca="1"/>
        <v>#REF!</v>
      </c>
      <c r="CD29" t="e">
        <f ca="1"/>
        <v>#REF!</v>
      </c>
      <c r="CE29" t="e">
        <f ca="1"/>
        <v>#REF!</v>
      </c>
      <c r="CF29" t="e">
        <f ca="1"/>
        <v>#REF!</v>
      </c>
      <c r="CG29" t="e">
        <f ca="1"/>
        <v>#REF!</v>
      </c>
      <c r="CH29" t="e">
        <f ca="1"/>
        <v>#REF!</v>
      </c>
      <c r="CI29" t="e">
        <f ca="1"/>
        <v>#REF!</v>
      </c>
      <c r="CJ29" t="e">
        <f ca="1"/>
        <v>#REF!</v>
      </c>
      <c r="CK29" t="e">
        <f ca="1"/>
        <v>#REF!</v>
      </c>
      <c r="CL29" t="e">
        <f ca="1"/>
        <v>#REF!</v>
      </c>
    </row>
    <row r="30" spans="1:90" x14ac:dyDescent="0.2">
      <c r="A30" s="2"/>
      <c r="B30" s="5"/>
      <c r="C30" s="9" t="s">
        <v>80</v>
      </c>
      <c r="D30" s="9" t="s">
        <v>81</v>
      </c>
      <c r="E30" s="32"/>
      <c r="F30" s="32"/>
      <c r="G30" s="32"/>
      <c r="H30" s="32"/>
      <c r="I30" s="32"/>
      <c r="J30" s="32"/>
      <c r="K30" s="32"/>
      <c r="L30" s="32"/>
      <c r="M30" s="32"/>
      <c r="N30" s="32"/>
      <c r="O30" s="14" t="e">
        <f t="shared" ca="1" si="1"/>
        <v>#REF!</v>
      </c>
      <c r="P30" s="14" t="e">
        <f ca="1">(O30*100)/P11</f>
        <v>#REF!</v>
      </c>
      <c r="Q30" s="12"/>
      <c r="R30" s="17"/>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CB30" t="e">
        <f t="array" ref="CB30:CL30" ca="1">SUM(LARGE(IF(ISNUMBER(E30:N30),E30:N30*$AE$15:$AN$15,0),ROW(INDIRECT(CONCATENATE("1:"&amp;$P$13)))))+IF(($P$13-$AO$15)&gt;0,SUM(LARGE(IF(ISNUMBER(E30:N30),IF($AE$15:$AN$15=0,E30:N30,0),0),ROW(INDIRECT(CONCATENATE("1:"&amp;$P$13-$AO$15))))),0)</f>
        <v>#REF!</v>
      </c>
      <c r="CC30" t="e">
        <f ca="1"/>
        <v>#REF!</v>
      </c>
      <c r="CD30" t="e">
        <f ca="1"/>
        <v>#REF!</v>
      </c>
      <c r="CE30" t="e">
        <f ca="1"/>
        <v>#REF!</v>
      </c>
      <c r="CF30" t="e">
        <f ca="1"/>
        <v>#REF!</v>
      </c>
      <c r="CG30" t="e">
        <f ca="1"/>
        <v>#REF!</v>
      </c>
      <c r="CH30" t="e">
        <f ca="1"/>
        <v>#REF!</v>
      </c>
      <c r="CI30" t="e">
        <f ca="1"/>
        <v>#REF!</v>
      </c>
      <c r="CJ30" t="e">
        <f ca="1"/>
        <v>#REF!</v>
      </c>
      <c r="CK30" t="e">
        <f ca="1"/>
        <v>#REF!</v>
      </c>
      <c r="CL30" t="e">
        <f ca="1"/>
        <v>#REF!</v>
      </c>
    </row>
    <row r="31" spans="1:90" x14ac:dyDescent="0.2">
      <c r="A31" s="2"/>
      <c r="B31" s="5"/>
      <c r="C31" s="9" t="s">
        <v>83</v>
      </c>
      <c r="D31" s="9" t="s">
        <v>84</v>
      </c>
      <c r="E31" s="32"/>
      <c r="F31" s="32"/>
      <c r="G31" s="32"/>
      <c r="H31" s="32"/>
      <c r="I31" s="32"/>
      <c r="J31" s="32"/>
      <c r="K31" s="32"/>
      <c r="L31" s="32"/>
      <c r="M31" s="32"/>
      <c r="N31" s="32"/>
      <c r="O31" s="14" t="e">
        <f t="shared" ca="1" si="1"/>
        <v>#REF!</v>
      </c>
      <c r="P31" s="14" t="e">
        <f ca="1">(O31*100)/P11</f>
        <v>#REF!</v>
      </c>
      <c r="Q31" s="12"/>
      <c r="R31" s="17"/>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CB31" t="e">
        <f t="array" ref="CB31:CL31" ca="1">SUM(LARGE(IF(ISNUMBER(E31:N31),E31:N31*$AE$15:$AN$15,0),ROW(INDIRECT(CONCATENATE("1:"&amp;$P$13)))))+IF(($P$13-$AO$15)&gt;0,SUM(LARGE(IF(ISNUMBER(E31:N31),IF($AE$15:$AN$15=0,E31:N31,0),0),ROW(INDIRECT(CONCATENATE("1:"&amp;$P$13-$AO$15))))),0)</f>
        <v>#REF!</v>
      </c>
      <c r="CC31" t="e">
        <f ca="1"/>
        <v>#REF!</v>
      </c>
      <c r="CD31" t="e">
        <f ca="1"/>
        <v>#REF!</v>
      </c>
      <c r="CE31" t="e">
        <f ca="1"/>
        <v>#REF!</v>
      </c>
      <c r="CF31" t="e">
        <f ca="1"/>
        <v>#REF!</v>
      </c>
      <c r="CG31" t="e">
        <f ca="1"/>
        <v>#REF!</v>
      </c>
      <c r="CH31" t="e">
        <f ca="1"/>
        <v>#REF!</v>
      </c>
      <c r="CI31" t="e">
        <f ca="1"/>
        <v>#REF!</v>
      </c>
      <c r="CJ31" t="e">
        <f ca="1"/>
        <v>#REF!</v>
      </c>
      <c r="CK31" t="e">
        <f ca="1"/>
        <v>#REF!</v>
      </c>
      <c r="CL31" t="e">
        <f ca="1"/>
        <v>#REF!</v>
      </c>
    </row>
    <row r="32" spans="1:90" x14ac:dyDescent="0.2">
      <c r="A32" s="2"/>
      <c r="B32" s="5"/>
      <c r="C32" s="9" t="s">
        <v>86</v>
      </c>
      <c r="D32" s="9" t="s">
        <v>87</v>
      </c>
      <c r="E32" s="32"/>
      <c r="F32" s="32"/>
      <c r="G32" s="32"/>
      <c r="H32" s="32"/>
      <c r="I32" s="32"/>
      <c r="J32" s="32"/>
      <c r="K32" s="32"/>
      <c r="L32" s="32"/>
      <c r="M32" s="32"/>
      <c r="N32" s="32"/>
      <c r="O32" s="14" t="e">
        <f t="shared" ca="1" si="1"/>
        <v>#REF!</v>
      </c>
      <c r="P32" s="14" t="e">
        <f ca="1">(O32*100)/P11</f>
        <v>#REF!</v>
      </c>
      <c r="Q32" s="12"/>
      <c r="R32" s="17"/>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CB32" t="e">
        <f t="array" ref="CB32:CL32" ca="1">SUM(LARGE(IF(ISNUMBER(E32:N32),E32:N32*$AE$15:$AN$15,0),ROW(INDIRECT(CONCATENATE("1:"&amp;$P$13)))))+IF(($P$13-$AO$15)&gt;0,SUM(LARGE(IF(ISNUMBER(E32:N32),IF($AE$15:$AN$15=0,E32:N32,0),0),ROW(INDIRECT(CONCATENATE("1:"&amp;$P$13-$AO$15))))),0)</f>
        <v>#REF!</v>
      </c>
      <c r="CC32" t="e">
        <f ca="1"/>
        <v>#REF!</v>
      </c>
      <c r="CD32" t="e">
        <f ca="1"/>
        <v>#REF!</v>
      </c>
      <c r="CE32" t="e">
        <f ca="1"/>
        <v>#REF!</v>
      </c>
      <c r="CF32" t="e">
        <f ca="1"/>
        <v>#REF!</v>
      </c>
      <c r="CG32" t="e">
        <f ca="1"/>
        <v>#REF!</v>
      </c>
      <c r="CH32" t="e">
        <f ca="1"/>
        <v>#REF!</v>
      </c>
      <c r="CI32" t="e">
        <f ca="1"/>
        <v>#REF!</v>
      </c>
      <c r="CJ32" t="e">
        <f ca="1"/>
        <v>#REF!</v>
      </c>
      <c r="CK32" t="e">
        <f ca="1"/>
        <v>#REF!</v>
      </c>
      <c r="CL32" t="e">
        <f ca="1"/>
        <v>#REF!</v>
      </c>
    </row>
    <row r="33" spans="1:90" x14ac:dyDescent="0.2">
      <c r="A33" s="2"/>
      <c r="B33" s="5"/>
      <c r="C33" s="9" t="s">
        <v>89</v>
      </c>
      <c r="D33" s="9" t="s">
        <v>90</v>
      </c>
      <c r="E33" s="32"/>
      <c r="F33" s="32"/>
      <c r="G33" s="32"/>
      <c r="H33" s="32"/>
      <c r="I33" s="32"/>
      <c r="J33" s="32"/>
      <c r="K33" s="32"/>
      <c r="L33" s="32"/>
      <c r="M33" s="32"/>
      <c r="N33" s="32"/>
      <c r="O33" s="14" t="e">
        <f t="shared" ca="1" si="1"/>
        <v>#REF!</v>
      </c>
      <c r="P33" s="14" t="e">
        <f ca="1">(O33*100)/P11</f>
        <v>#REF!</v>
      </c>
      <c r="Q33" s="12"/>
      <c r="R33" s="17"/>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CB33" t="e">
        <f t="array" ref="CB33:CL33" ca="1">SUM(LARGE(IF(ISNUMBER(E33:N33),E33:N33*$AE$15:$AN$15,0),ROW(INDIRECT(CONCATENATE("1:"&amp;$P$13)))))+IF(($P$13-$AO$15)&gt;0,SUM(LARGE(IF(ISNUMBER(E33:N33),IF($AE$15:$AN$15=0,E33:N33,0),0),ROW(INDIRECT(CONCATENATE("1:"&amp;$P$13-$AO$15))))),0)</f>
        <v>#REF!</v>
      </c>
      <c r="CC33" t="e">
        <f ca="1"/>
        <v>#REF!</v>
      </c>
      <c r="CD33" t="e">
        <f ca="1"/>
        <v>#REF!</v>
      </c>
      <c r="CE33" t="e">
        <f ca="1"/>
        <v>#REF!</v>
      </c>
      <c r="CF33" t="e">
        <f ca="1"/>
        <v>#REF!</v>
      </c>
      <c r="CG33" t="e">
        <f ca="1"/>
        <v>#REF!</v>
      </c>
      <c r="CH33" t="e">
        <f ca="1"/>
        <v>#REF!</v>
      </c>
      <c r="CI33" t="e">
        <f ca="1"/>
        <v>#REF!</v>
      </c>
      <c r="CJ33" t="e">
        <f ca="1"/>
        <v>#REF!</v>
      </c>
      <c r="CK33" t="e">
        <f ca="1"/>
        <v>#REF!</v>
      </c>
      <c r="CL33" t="e">
        <f ca="1"/>
        <v>#REF!</v>
      </c>
    </row>
    <row r="34" spans="1:90" x14ac:dyDescent="0.2">
      <c r="A34" s="2"/>
      <c r="B34" s="5"/>
      <c r="C34" s="9" t="s">
        <v>92</v>
      </c>
      <c r="D34" s="9" t="s">
        <v>93</v>
      </c>
      <c r="E34" s="32"/>
      <c r="F34" s="32"/>
      <c r="G34" s="32"/>
      <c r="H34" s="32"/>
      <c r="I34" s="32"/>
      <c r="J34" s="32"/>
      <c r="K34" s="32"/>
      <c r="L34" s="32"/>
      <c r="M34" s="32"/>
      <c r="N34" s="32"/>
      <c r="O34" s="14" t="e">
        <f t="shared" ca="1" si="1"/>
        <v>#REF!</v>
      </c>
      <c r="P34" s="14" t="e">
        <f ca="1">(O34*100)/P11</f>
        <v>#REF!</v>
      </c>
      <c r="Q34" s="12"/>
      <c r="R34" s="17"/>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CB34" t="e">
        <f t="array" ref="CB34:CL34" ca="1">SUM(LARGE(IF(ISNUMBER(E34:N34),E34:N34*$AE$15:$AN$15,0),ROW(INDIRECT(CONCATENATE("1:"&amp;$P$13)))))+IF(($P$13-$AO$15)&gt;0,SUM(LARGE(IF(ISNUMBER(E34:N34),IF($AE$15:$AN$15=0,E34:N34,0),0),ROW(INDIRECT(CONCATENATE("1:"&amp;$P$13-$AO$15))))),0)</f>
        <v>#REF!</v>
      </c>
      <c r="CC34" t="e">
        <f ca="1"/>
        <v>#REF!</v>
      </c>
      <c r="CD34" t="e">
        <f ca="1"/>
        <v>#REF!</v>
      </c>
      <c r="CE34" t="e">
        <f ca="1"/>
        <v>#REF!</v>
      </c>
      <c r="CF34" t="e">
        <f ca="1"/>
        <v>#REF!</v>
      </c>
      <c r="CG34" t="e">
        <f ca="1"/>
        <v>#REF!</v>
      </c>
      <c r="CH34" t="e">
        <f ca="1"/>
        <v>#REF!</v>
      </c>
      <c r="CI34" t="e">
        <f ca="1"/>
        <v>#REF!</v>
      </c>
      <c r="CJ34" t="e">
        <f ca="1"/>
        <v>#REF!</v>
      </c>
      <c r="CK34" t="e">
        <f ca="1"/>
        <v>#REF!</v>
      </c>
      <c r="CL34" t="e">
        <f ca="1"/>
        <v>#REF!</v>
      </c>
    </row>
    <row r="35" spans="1:90" x14ac:dyDescent="0.2">
      <c r="A35" s="2"/>
      <c r="B35" s="5"/>
      <c r="C35" s="9" t="s">
        <v>95</v>
      </c>
      <c r="D35" s="9" t="s">
        <v>96</v>
      </c>
      <c r="E35" s="32"/>
      <c r="F35" s="32"/>
      <c r="G35" s="32"/>
      <c r="H35" s="32"/>
      <c r="I35" s="32"/>
      <c r="J35" s="32"/>
      <c r="K35" s="32"/>
      <c r="L35" s="32"/>
      <c r="M35" s="32"/>
      <c r="N35" s="32"/>
      <c r="O35" s="14" t="e">
        <f t="shared" ca="1" si="1"/>
        <v>#REF!</v>
      </c>
      <c r="P35" s="14" t="e">
        <f ca="1">(O35*100)/P11</f>
        <v>#REF!</v>
      </c>
      <c r="Q35" s="12"/>
      <c r="R35" s="17"/>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CB35" t="e">
        <f t="array" ref="CB35:CL35" ca="1">SUM(LARGE(IF(ISNUMBER(E35:N35),E35:N35*$AE$15:$AN$15,0),ROW(INDIRECT(CONCATENATE("1:"&amp;$P$13)))))+IF(($P$13-$AO$15)&gt;0,SUM(LARGE(IF(ISNUMBER(E35:N35),IF($AE$15:$AN$15=0,E35:N35,0),0),ROW(INDIRECT(CONCATENATE("1:"&amp;$P$13-$AO$15))))),0)</f>
        <v>#REF!</v>
      </c>
      <c r="CC35" t="e">
        <f ca="1"/>
        <v>#REF!</v>
      </c>
      <c r="CD35" t="e">
        <f ca="1"/>
        <v>#REF!</v>
      </c>
      <c r="CE35" t="e">
        <f ca="1"/>
        <v>#REF!</v>
      </c>
      <c r="CF35" t="e">
        <f ca="1"/>
        <v>#REF!</v>
      </c>
      <c r="CG35" t="e">
        <f ca="1"/>
        <v>#REF!</v>
      </c>
      <c r="CH35" t="e">
        <f ca="1"/>
        <v>#REF!</v>
      </c>
      <c r="CI35" t="e">
        <f ca="1"/>
        <v>#REF!</v>
      </c>
      <c r="CJ35" t="e">
        <f ca="1"/>
        <v>#REF!</v>
      </c>
      <c r="CK35" t="e">
        <f ca="1"/>
        <v>#REF!</v>
      </c>
      <c r="CL35" t="e">
        <f ca="1"/>
        <v>#REF!</v>
      </c>
    </row>
    <row r="36" spans="1:90" x14ac:dyDescent="0.2">
      <c r="A36" s="2"/>
      <c r="B36" s="5"/>
      <c r="C36" s="9" t="s">
        <v>98</v>
      </c>
      <c r="D36" s="9" t="s">
        <v>99</v>
      </c>
      <c r="E36" s="32"/>
      <c r="F36" s="32"/>
      <c r="G36" s="32"/>
      <c r="H36" s="32"/>
      <c r="I36" s="32"/>
      <c r="J36" s="32"/>
      <c r="K36" s="32"/>
      <c r="L36" s="32"/>
      <c r="M36" s="32"/>
      <c r="N36" s="32"/>
      <c r="O36" s="14" t="e">
        <f t="shared" ca="1" si="1"/>
        <v>#REF!</v>
      </c>
      <c r="P36" s="14" t="e">
        <f ca="1">(O36*100)/P11</f>
        <v>#REF!</v>
      </c>
      <c r="Q36" s="12"/>
      <c r="R36" s="17"/>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CB36" t="e">
        <f t="array" ref="CB36:CL36" ca="1">SUM(LARGE(IF(ISNUMBER(E36:N36),E36:N36*$AE$15:$AN$15,0),ROW(INDIRECT(CONCATENATE("1:"&amp;$P$13)))))+IF(($P$13-$AO$15)&gt;0,SUM(LARGE(IF(ISNUMBER(E36:N36),IF($AE$15:$AN$15=0,E36:N36,0),0),ROW(INDIRECT(CONCATENATE("1:"&amp;$P$13-$AO$15))))),0)</f>
        <v>#REF!</v>
      </c>
      <c r="CC36" t="e">
        <f ca="1"/>
        <v>#REF!</v>
      </c>
      <c r="CD36" t="e">
        <f ca="1"/>
        <v>#REF!</v>
      </c>
      <c r="CE36" t="e">
        <f ca="1"/>
        <v>#REF!</v>
      </c>
      <c r="CF36" t="e">
        <f ca="1"/>
        <v>#REF!</v>
      </c>
      <c r="CG36" t="e">
        <f ca="1"/>
        <v>#REF!</v>
      </c>
      <c r="CH36" t="e">
        <f ca="1"/>
        <v>#REF!</v>
      </c>
      <c r="CI36" t="e">
        <f ca="1"/>
        <v>#REF!</v>
      </c>
      <c r="CJ36" t="e">
        <f ca="1"/>
        <v>#REF!</v>
      </c>
      <c r="CK36" t="e">
        <f ca="1"/>
        <v>#REF!</v>
      </c>
      <c r="CL36" t="e">
        <f ca="1"/>
        <v>#REF!</v>
      </c>
    </row>
    <row r="37" spans="1:90" x14ac:dyDescent="0.2">
      <c r="A37" s="2"/>
      <c r="B37" s="5"/>
      <c r="C37" s="9" t="s">
        <v>101</v>
      </c>
      <c r="D37" s="9" t="s">
        <v>102</v>
      </c>
      <c r="E37" s="32"/>
      <c r="F37" s="32"/>
      <c r="G37" s="32"/>
      <c r="H37" s="32"/>
      <c r="I37" s="32"/>
      <c r="J37" s="32"/>
      <c r="K37" s="32"/>
      <c r="L37" s="32"/>
      <c r="M37" s="32"/>
      <c r="N37" s="32"/>
      <c r="O37" s="14" t="e">
        <f t="shared" ca="1" si="1"/>
        <v>#REF!</v>
      </c>
      <c r="P37" s="14" t="e">
        <f ca="1">(O37*100)/P11</f>
        <v>#REF!</v>
      </c>
      <c r="Q37" s="12"/>
      <c r="R37" s="17"/>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CB37" t="e">
        <f t="array" ref="CB37:CL37" ca="1">SUM(LARGE(IF(ISNUMBER(E37:N37),E37:N37*$AE$15:$AN$15,0),ROW(INDIRECT(CONCATENATE("1:"&amp;$P$13)))))+IF(($P$13-$AO$15)&gt;0,SUM(LARGE(IF(ISNUMBER(E37:N37),IF($AE$15:$AN$15=0,E37:N37,0),0),ROW(INDIRECT(CONCATENATE("1:"&amp;$P$13-$AO$15))))),0)</f>
        <v>#REF!</v>
      </c>
      <c r="CC37" t="e">
        <f ca="1"/>
        <v>#REF!</v>
      </c>
      <c r="CD37" t="e">
        <f ca="1"/>
        <v>#REF!</v>
      </c>
      <c r="CE37" t="e">
        <f ca="1"/>
        <v>#REF!</v>
      </c>
      <c r="CF37" t="e">
        <f ca="1"/>
        <v>#REF!</v>
      </c>
      <c r="CG37" t="e">
        <f ca="1"/>
        <v>#REF!</v>
      </c>
      <c r="CH37" t="e">
        <f ca="1"/>
        <v>#REF!</v>
      </c>
      <c r="CI37" t="e">
        <f ca="1"/>
        <v>#REF!</v>
      </c>
      <c r="CJ37" t="e">
        <f ca="1"/>
        <v>#REF!</v>
      </c>
      <c r="CK37" t="e">
        <f ca="1"/>
        <v>#REF!</v>
      </c>
      <c r="CL37" t="e">
        <f ca="1"/>
        <v>#REF!</v>
      </c>
    </row>
    <row r="38" spans="1:90" x14ac:dyDescent="0.2">
      <c r="A38" s="2"/>
      <c r="B38" s="5"/>
      <c r="C38" s="9" t="s">
        <v>104</v>
      </c>
      <c r="D38" s="9" t="s">
        <v>105</v>
      </c>
      <c r="E38" s="32"/>
      <c r="F38" s="32"/>
      <c r="G38" s="32"/>
      <c r="H38" s="32"/>
      <c r="I38" s="32"/>
      <c r="J38" s="32"/>
      <c r="K38" s="32"/>
      <c r="L38" s="32"/>
      <c r="M38" s="32"/>
      <c r="N38" s="32"/>
      <c r="O38" s="14" t="e">
        <f t="shared" ca="1" si="1"/>
        <v>#REF!</v>
      </c>
      <c r="P38" s="14" t="e">
        <f ca="1">(O38*100)/P11</f>
        <v>#REF!</v>
      </c>
      <c r="Q38" s="12"/>
      <c r="R38" s="17"/>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CB38" t="e">
        <f t="array" ref="CB38:CL38" ca="1">SUM(LARGE(IF(ISNUMBER(E38:N38),E38:N38*$AE$15:$AN$15,0),ROW(INDIRECT(CONCATENATE("1:"&amp;$P$13)))))+IF(($P$13-$AO$15)&gt;0,SUM(LARGE(IF(ISNUMBER(E38:N38),IF($AE$15:$AN$15=0,E38:N38,0),0),ROW(INDIRECT(CONCATENATE("1:"&amp;$P$13-$AO$15))))),0)</f>
        <v>#REF!</v>
      </c>
      <c r="CC38" t="e">
        <f ca="1"/>
        <v>#REF!</v>
      </c>
      <c r="CD38" t="e">
        <f ca="1"/>
        <v>#REF!</v>
      </c>
      <c r="CE38" t="e">
        <f ca="1"/>
        <v>#REF!</v>
      </c>
      <c r="CF38" t="e">
        <f ca="1"/>
        <v>#REF!</v>
      </c>
      <c r="CG38" t="e">
        <f ca="1"/>
        <v>#REF!</v>
      </c>
      <c r="CH38" t="e">
        <f ca="1"/>
        <v>#REF!</v>
      </c>
      <c r="CI38" t="e">
        <f ca="1"/>
        <v>#REF!</v>
      </c>
      <c r="CJ38" t="e">
        <f ca="1"/>
        <v>#REF!</v>
      </c>
      <c r="CK38" t="e">
        <f ca="1"/>
        <v>#REF!</v>
      </c>
      <c r="CL38" t="e">
        <f ca="1"/>
        <v>#REF!</v>
      </c>
    </row>
    <row r="39" spans="1:90" x14ac:dyDescent="0.2">
      <c r="A39" s="2"/>
      <c r="B39" s="5"/>
      <c r="C39" s="9" t="s">
        <v>107</v>
      </c>
      <c r="D39" s="9" t="s">
        <v>108</v>
      </c>
      <c r="E39" s="32"/>
      <c r="F39" s="32"/>
      <c r="G39" s="32"/>
      <c r="H39" s="32"/>
      <c r="I39" s="32"/>
      <c r="J39" s="32"/>
      <c r="K39" s="32"/>
      <c r="L39" s="32"/>
      <c r="M39" s="32"/>
      <c r="N39" s="32"/>
      <c r="O39" s="14" t="e">
        <f t="shared" ca="1" si="1"/>
        <v>#REF!</v>
      </c>
      <c r="P39" s="14" t="e">
        <f ca="1">(O39*100)/P11</f>
        <v>#REF!</v>
      </c>
      <c r="Q39" s="12"/>
      <c r="R39" s="17"/>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CB39" t="e">
        <f t="array" ref="CB39:CL39" ca="1">SUM(LARGE(IF(ISNUMBER(E39:N39),E39:N39*$AE$15:$AN$15,0),ROW(INDIRECT(CONCATENATE("1:"&amp;$P$13)))))+IF(($P$13-$AO$15)&gt;0,SUM(LARGE(IF(ISNUMBER(E39:N39),IF($AE$15:$AN$15=0,E39:N39,0),0),ROW(INDIRECT(CONCATENATE("1:"&amp;$P$13-$AO$15))))),0)</f>
        <v>#REF!</v>
      </c>
      <c r="CC39" t="e">
        <f ca="1"/>
        <v>#REF!</v>
      </c>
      <c r="CD39" t="e">
        <f ca="1"/>
        <v>#REF!</v>
      </c>
      <c r="CE39" t="e">
        <f ca="1"/>
        <v>#REF!</v>
      </c>
      <c r="CF39" t="e">
        <f ca="1"/>
        <v>#REF!</v>
      </c>
      <c r="CG39" t="e">
        <f ca="1"/>
        <v>#REF!</v>
      </c>
      <c r="CH39" t="e">
        <f ca="1"/>
        <v>#REF!</v>
      </c>
      <c r="CI39" t="e">
        <f ca="1"/>
        <v>#REF!</v>
      </c>
      <c r="CJ39" t="e">
        <f ca="1"/>
        <v>#REF!</v>
      </c>
      <c r="CK39" t="e">
        <f ca="1"/>
        <v>#REF!</v>
      </c>
      <c r="CL39" t="e">
        <f ca="1"/>
        <v>#REF!</v>
      </c>
    </row>
    <row r="40" spans="1:90" x14ac:dyDescent="0.2">
      <c r="A40" s="2"/>
      <c r="B40" s="5"/>
      <c r="C40" s="9" t="s">
        <v>110</v>
      </c>
      <c r="D40" s="9" t="s">
        <v>111</v>
      </c>
      <c r="E40" s="32"/>
      <c r="F40" s="32"/>
      <c r="G40" s="32"/>
      <c r="H40" s="32"/>
      <c r="I40" s="32"/>
      <c r="J40" s="32"/>
      <c r="K40" s="32"/>
      <c r="L40" s="32"/>
      <c r="M40" s="32"/>
      <c r="N40" s="32"/>
      <c r="O40" s="14" t="e">
        <f t="shared" ca="1" si="1"/>
        <v>#REF!</v>
      </c>
      <c r="P40" s="14" t="e">
        <f ca="1">(O40*100)/P11</f>
        <v>#REF!</v>
      </c>
      <c r="Q40" s="12"/>
      <c r="R40" s="17"/>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CB40" t="e">
        <f t="array" ref="CB40:CL40" ca="1">SUM(LARGE(IF(ISNUMBER(E40:N40),E40:N40*$AE$15:$AN$15,0),ROW(INDIRECT(CONCATENATE("1:"&amp;$P$13)))))+IF(($P$13-$AO$15)&gt;0,SUM(LARGE(IF(ISNUMBER(E40:N40),IF($AE$15:$AN$15=0,E40:N40,0),0),ROW(INDIRECT(CONCATENATE("1:"&amp;$P$13-$AO$15))))),0)</f>
        <v>#REF!</v>
      </c>
      <c r="CC40" t="e">
        <f ca="1"/>
        <v>#REF!</v>
      </c>
      <c r="CD40" t="e">
        <f ca="1"/>
        <v>#REF!</v>
      </c>
      <c r="CE40" t="e">
        <f ca="1"/>
        <v>#REF!</v>
      </c>
      <c r="CF40" t="e">
        <f ca="1"/>
        <v>#REF!</v>
      </c>
      <c r="CG40" t="e">
        <f ca="1"/>
        <v>#REF!</v>
      </c>
      <c r="CH40" t="e">
        <f ca="1"/>
        <v>#REF!</v>
      </c>
      <c r="CI40" t="e">
        <f ca="1"/>
        <v>#REF!</v>
      </c>
      <c r="CJ40" t="e">
        <f ca="1"/>
        <v>#REF!</v>
      </c>
      <c r="CK40" t="e">
        <f ca="1"/>
        <v>#REF!</v>
      </c>
      <c r="CL40" t="e">
        <f ca="1"/>
        <v>#REF!</v>
      </c>
    </row>
    <row r="41" spans="1:90" x14ac:dyDescent="0.2">
      <c r="A41" s="2"/>
      <c r="B41" s="5"/>
      <c r="C41" s="9" t="s">
        <v>113</v>
      </c>
      <c r="D41" s="9" t="s">
        <v>114</v>
      </c>
      <c r="E41" s="32"/>
      <c r="F41" s="32"/>
      <c r="G41" s="32"/>
      <c r="H41" s="32"/>
      <c r="I41" s="32"/>
      <c r="J41" s="32"/>
      <c r="K41" s="32"/>
      <c r="L41" s="32"/>
      <c r="M41" s="32"/>
      <c r="N41" s="32"/>
      <c r="O41" s="14" t="e">
        <f t="shared" ca="1" si="1"/>
        <v>#REF!</v>
      </c>
      <c r="P41" s="14" t="e">
        <f ca="1">(O41*100)/P11</f>
        <v>#REF!</v>
      </c>
      <c r="Q41" s="12"/>
      <c r="R41" s="17"/>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CB41" t="e">
        <f t="array" ref="CB41:CL41" ca="1">SUM(LARGE(IF(ISNUMBER(E41:N41),E41:N41*$AE$15:$AN$15,0),ROW(INDIRECT(CONCATENATE("1:"&amp;$P$13)))))+IF(($P$13-$AO$15)&gt;0,SUM(LARGE(IF(ISNUMBER(E41:N41),IF($AE$15:$AN$15=0,E41:N41,0),0),ROW(INDIRECT(CONCATENATE("1:"&amp;$P$13-$AO$15))))),0)</f>
        <v>#REF!</v>
      </c>
      <c r="CC41" t="e">
        <f ca="1"/>
        <v>#REF!</v>
      </c>
      <c r="CD41" t="e">
        <f ca="1"/>
        <v>#REF!</v>
      </c>
      <c r="CE41" t="e">
        <f ca="1"/>
        <v>#REF!</v>
      </c>
      <c r="CF41" t="e">
        <f ca="1"/>
        <v>#REF!</v>
      </c>
      <c r="CG41" t="e">
        <f ca="1"/>
        <v>#REF!</v>
      </c>
      <c r="CH41" t="e">
        <f ca="1"/>
        <v>#REF!</v>
      </c>
      <c r="CI41" t="e">
        <f ca="1"/>
        <v>#REF!</v>
      </c>
      <c r="CJ41" t="e">
        <f ca="1"/>
        <v>#REF!</v>
      </c>
      <c r="CK41" t="e">
        <f ca="1"/>
        <v>#REF!</v>
      </c>
      <c r="CL41" t="e">
        <f ca="1"/>
        <v>#REF!</v>
      </c>
    </row>
    <row r="42" spans="1:90" x14ac:dyDescent="0.2">
      <c r="A42" s="2"/>
      <c r="B42" s="5"/>
      <c r="C42" s="9" t="s">
        <v>116</v>
      </c>
      <c r="D42" s="9" t="s">
        <v>117</v>
      </c>
      <c r="E42" s="32"/>
      <c r="F42" s="32"/>
      <c r="G42" s="32"/>
      <c r="H42" s="32"/>
      <c r="I42" s="32"/>
      <c r="J42" s="32"/>
      <c r="K42" s="32"/>
      <c r="L42" s="32"/>
      <c r="M42" s="32"/>
      <c r="N42" s="32"/>
      <c r="O42" s="14" t="e">
        <f t="shared" ca="1" si="1"/>
        <v>#REF!</v>
      </c>
      <c r="P42" s="14" t="e">
        <f ca="1">(O42*100)/P11</f>
        <v>#REF!</v>
      </c>
      <c r="Q42" s="12"/>
      <c r="R42" s="17"/>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CB42" t="e">
        <f t="array" ref="CB42:CL42" ca="1">SUM(LARGE(IF(ISNUMBER(E42:N42),E42:N42*$AE$15:$AN$15,0),ROW(INDIRECT(CONCATENATE("1:"&amp;$P$13)))))+IF(($P$13-$AO$15)&gt;0,SUM(LARGE(IF(ISNUMBER(E42:N42),IF($AE$15:$AN$15=0,E42:N42,0),0),ROW(INDIRECT(CONCATENATE("1:"&amp;$P$13-$AO$15))))),0)</f>
        <v>#REF!</v>
      </c>
      <c r="CC42" t="e">
        <f ca="1"/>
        <v>#REF!</v>
      </c>
      <c r="CD42" t="e">
        <f ca="1"/>
        <v>#REF!</v>
      </c>
      <c r="CE42" t="e">
        <f ca="1"/>
        <v>#REF!</v>
      </c>
      <c r="CF42" t="e">
        <f ca="1"/>
        <v>#REF!</v>
      </c>
      <c r="CG42" t="e">
        <f ca="1"/>
        <v>#REF!</v>
      </c>
      <c r="CH42" t="e">
        <f ca="1"/>
        <v>#REF!</v>
      </c>
      <c r="CI42" t="e">
        <f ca="1"/>
        <v>#REF!</v>
      </c>
      <c r="CJ42" t="e">
        <f ca="1"/>
        <v>#REF!</v>
      </c>
      <c r="CK42" t="e">
        <f ca="1"/>
        <v>#REF!</v>
      </c>
      <c r="CL42" t="e">
        <f ca="1"/>
        <v>#REF!</v>
      </c>
    </row>
    <row r="43" spans="1:90" x14ac:dyDescent="0.2">
      <c r="A43" s="2"/>
      <c r="B43" s="5"/>
      <c r="C43" s="9" t="s">
        <v>119</v>
      </c>
      <c r="D43" s="9" t="s">
        <v>120</v>
      </c>
      <c r="E43" s="32"/>
      <c r="F43" s="32"/>
      <c r="G43" s="32"/>
      <c r="H43" s="32"/>
      <c r="I43" s="32"/>
      <c r="J43" s="32"/>
      <c r="K43" s="32"/>
      <c r="L43" s="32"/>
      <c r="M43" s="32"/>
      <c r="N43" s="32"/>
      <c r="O43" s="14" t="e">
        <f t="shared" ca="1" si="1"/>
        <v>#REF!</v>
      </c>
      <c r="P43" s="14" t="e">
        <f ca="1">(O43*100)/P11</f>
        <v>#REF!</v>
      </c>
      <c r="Q43" s="12"/>
      <c r="R43" s="17"/>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CB43" t="e">
        <f t="array" ref="CB43:CL43" ca="1">SUM(LARGE(IF(ISNUMBER(E43:N43),E43:N43*$AE$15:$AN$15,0),ROW(INDIRECT(CONCATENATE("1:"&amp;$P$13)))))+IF(($P$13-$AO$15)&gt;0,SUM(LARGE(IF(ISNUMBER(E43:N43),IF($AE$15:$AN$15=0,E43:N43,0),0),ROW(INDIRECT(CONCATENATE("1:"&amp;$P$13-$AO$15))))),0)</f>
        <v>#REF!</v>
      </c>
      <c r="CC43" t="e">
        <f ca="1"/>
        <v>#REF!</v>
      </c>
      <c r="CD43" t="e">
        <f ca="1"/>
        <v>#REF!</v>
      </c>
      <c r="CE43" t="e">
        <f ca="1"/>
        <v>#REF!</v>
      </c>
      <c r="CF43" t="e">
        <f ca="1"/>
        <v>#REF!</v>
      </c>
      <c r="CG43" t="e">
        <f ca="1"/>
        <v>#REF!</v>
      </c>
      <c r="CH43" t="e">
        <f ca="1"/>
        <v>#REF!</v>
      </c>
      <c r="CI43" t="e">
        <f ca="1"/>
        <v>#REF!</v>
      </c>
      <c r="CJ43" t="e">
        <f ca="1"/>
        <v>#REF!</v>
      </c>
      <c r="CK43" t="e">
        <f ca="1"/>
        <v>#REF!</v>
      </c>
      <c r="CL43" t="e">
        <f ca="1"/>
        <v>#REF!</v>
      </c>
    </row>
    <row r="44" spans="1:90" x14ac:dyDescent="0.2">
      <c r="A44" s="2"/>
      <c r="B44" s="5"/>
      <c r="C44" s="9" t="s">
        <v>122</v>
      </c>
      <c r="D44" s="9" t="s">
        <v>123</v>
      </c>
      <c r="E44" s="32"/>
      <c r="F44" s="32"/>
      <c r="G44" s="32"/>
      <c r="H44" s="32"/>
      <c r="I44" s="32"/>
      <c r="J44" s="32"/>
      <c r="K44" s="32"/>
      <c r="L44" s="32"/>
      <c r="M44" s="32"/>
      <c r="N44" s="32"/>
      <c r="O44" s="14" t="e">
        <f t="shared" ca="1" si="1"/>
        <v>#REF!</v>
      </c>
      <c r="P44" s="14" t="e">
        <f ca="1">(O44*100)/P11</f>
        <v>#REF!</v>
      </c>
      <c r="Q44" s="12"/>
      <c r="R44" s="17"/>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CB44" t="e">
        <f t="array" ref="CB44:CL44" ca="1">SUM(LARGE(IF(ISNUMBER(E44:N44),E44:N44*$AE$15:$AN$15,0),ROW(INDIRECT(CONCATENATE("1:"&amp;$P$13)))))+IF(($P$13-$AO$15)&gt;0,SUM(LARGE(IF(ISNUMBER(E44:N44),IF($AE$15:$AN$15=0,E44:N44,0),0),ROW(INDIRECT(CONCATENATE("1:"&amp;$P$13-$AO$15))))),0)</f>
        <v>#REF!</v>
      </c>
      <c r="CC44" t="e">
        <f ca="1"/>
        <v>#REF!</v>
      </c>
      <c r="CD44" t="e">
        <f ca="1"/>
        <v>#REF!</v>
      </c>
      <c r="CE44" t="e">
        <f ca="1"/>
        <v>#REF!</v>
      </c>
      <c r="CF44" t="e">
        <f ca="1"/>
        <v>#REF!</v>
      </c>
      <c r="CG44" t="e">
        <f ca="1"/>
        <v>#REF!</v>
      </c>
      <c r="CH44" t="e">
        <f ca="1"/>
        <v>#REF!</v>
      </c>
      <c r="CI44" t="e">
        <f ca="1"/>
        <v>#REF!</v>
      </c>
      <c r="CJ44" t="e">
        <f ca="1"/>
        <v>#REF!</v>
      </c>
      <c r="CK44" t="e">
        <f ca="1"/>
        <v>#REF!</v>
      </c>
      <c r="CL44" t="e">
        <f ca="1"/>
        <v>#REF!</v>
      </c>
    </row>
    <row r="45" spans="1:90" x14ac:dyDescent="0.2">
      <c r="A45" s="2"/>
      <c r="B45" s="5"/>
      <c r="C45" s="9" t="s">
        <v>125</v>
      </c>
      <c r="D45" s="9" t="s">
        <v>126</v>
      </c>
      <c r="E45" s="32"/>
      <c r="F45" s="32"/>
      <c r="G45" s="32"/>
      <c r="H45" s="32"/>
      <c r="I45" s="32"/>
      <c r="J45" s="32"/>
      <c r="K45" s="32"/>
      <c r="L45" s="32"/>
      <c r="M45" s="32"/>
      <c r="N45" s="32"/>
      <c r="O45" s="14" t="e">
        <f t="shared" ca="1" si="1"/>
        <v>#REF!</v>
      </c>
      <c r="P45" s="14" t="e">
        <f ca="1">(O45*100)/P11</f>
        <v>#REF!</v>
      </c>
      <c r="Q45" s="12"/>
      <c r="R45" s="17"/>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CB45" t="e">
        <f t="array" ref="CB45:CL45" ca="1">SUM(LARGE(IF(ISNUMBER(E45:N45),E45:N45*$AE$15:$AN$15,0),ROW(INDIRECT(CONCATENATE("1:"&amp;$P$13)))))+IF(($P$13-$AO$15)&gt;0,SUM(LARGE(IF(ISNUMBER(E45:N45),IF($AE$15:$AN$15=0,E45:N45,0),0),ROW(INDIRECT(CONCATENATE("1:"&amp;$P$13-$AO$15))))),0)</f>
        <v>#REF!</v>
      </c>
      <c r="CC45" t="e">
        <f ca="1"/>
        <v>#REF!</v>
      </c>
      <c r="CD45" t="e">
        <f ca="1"/>
        <v>#REF!</v>
      </c>
      <c r="CE45" t="e">
        <f ca="1"/>
        <v>#REF!</v>
      </c>
      <c r="CF45" t="e">
        <f ca="1"/>
        <v>#REF!</v>
      </c>
      <c r="CG45" t="e">
        <f ca="1"/>
        <v>#REF!</v>
      </c>
      <c r="CH45" t="e">
        <f ca="1"/>
        <v>#REF!</v>
      </c>
      <c r="CI45" t="e">
        <f ca="1"/>
        <v>#REF!</v>
      </c>
      <c r="CJ45" t="e">
        <f ca="1"/>
        <v>#REF!</v>
      </c>
      <c r="CK45" t="e">
        <f ca="1"/>
        <v>#REF!</v>
      </c>
      <c r="CL45" t="e">
        <f ca="1"/>
        <v>#REF!</v>
      </c>
    </row>
    <row r="46" spans="1:90" x14ac:dyDescent="0.2">
      <c r="A46" s="2"/>
      <c r="B46" s="5"/>
      <c r="C46" s="9" t="s">
        <v>128</v>
      </c>
      <c r="D46" s="9" t="s">
        <v>129</v>
      </c>
      <c r="E46" s="32"/>
      <c r="F46" s="32"/>
      <c r="G46" s="32"/>
      <c r="H46" s="32"/>
      <c r="I46" s="32"/>
      <c r="J46" s="32"/>
      <c r="K46" s="32"/>
      <c r="L46" s="32"/>
      <c r="M46" s="32"/>
      <c r="N46" s="32"/>
      <c r="O46" s="14" t="e">
        <f t="shared" ca="1" si="1"/>
        <v>#REF!</v>
      </c>
      <c r="P46" s="14" t="e">
        <f ca="1">(O46*100)/P11</f>
        <v>#REF!</v>
      </c>
      <c r="Q46" s="12"/>
      <c r="R46" s="17"/>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CB46" t="e">
        <f t="array" ref="CB46:CL46" ca="1">SUM(LARGE(IF(ISNUMBER(E46:N46),E46:N46*$AE$15:$AN$15,0),ROW(INDIRECT(CONCATENATE("1:"&amp;$P$13)))))+IF(($P$13-$AO$15)&gt;0,SUM(LARGE(IF(ISNUMBER(E46:N46),IF($AE$15:$AN$15=0,E46:N46,0),0),ROW(INDIRECT(CONCATENATE("1:"&amp;$P$13-$AO$15))))),0)</f>
        <v>#REF!</v>
      </c>
      <c r="CC46" t="e">
        <f ca="1"/>
        <v>#REF!</v>
      </c>
      <c r="CD46" t="e">
        <f ca="1"/>
        <v>#REF!</v>
      </c>
      <c r="CE46" t="e">
        <f ca="1"/>
        <v>#REF!</v>
      </c>
      <c r="CF46" t="e">
        <f ca="1"/>
        <v>#REF!</v>
      </c>
      <c r="CG46" t="e">
        <f ca="1"/>
        <v>#REF!</v>
      </c>
      <c r="CH46" t="e">
        <f ca="1"/>
        <v>#REF!</v>
      </c>
      <c r="CI46" t="e">
        <f ca="1"/>
        <v>#REF!</v>
      </c>
      <c r="CJ46" t="e">
        <f ca="1"/>
        <v>#REF!</v>
      </c>
      <c r="CK46" t="e">
        <f ca="1"/>
        <v>#REF!</v>
      </c>
      <c r="CL46" t="e">
        <f ca="1"/>
        <v>#REF!</v>
      </c>
    </row>
    <row r="47" spans="1:90" x14ac:dyDescent="0.2">
      <c r="A47" s="2"/>
      <c r="B47" s="5"/>
      <c r="C47" s="9" t="s">
        <v>131</v>
      </c>
      <c r="D47" s="9" t="s">
        <v>132</v>
      </c>
      <c r="E47" s="32"/>
      <c r="F47" s="32"/>
      <c r="G47" s="32"/>
      <c r="H47" s="32"/>
      <c r="I47" s="32"/>
      <c r="J47" s="32"/>
      <c r="K47" s="32"/>
      <c r="L47" s="32"/>
      <c r="M47" s="32"/>
      <c r="N47" s="32"/>
      <c r="O47" s="14" t="e">
        <f t="shared" ca="1" si="1"/>
        <v>#REF!</v>
      </c>
      <c r="P47" s="14" t="e">
        <f ca="1">(O47*100)/P11</f>
        <v>#REF!</v>
      </c>
      <c r="Q47" s="12"/>
      <c r="R47" s="17"/>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CB47" t="e">
        <f t="array" ref="CB47:CL47" ca="1">SUM(LARGE(IF(ISNUMBER(E47:N47),E47:N47*$AE$15:$AN$15,0),ROW(INDIRECT(CONCATENATE("1:"&amp;$P$13)))))+IF(($P$13-$AO$15)&gt;0,SUM(LARGE(IF(ISNUMBER(E47:N47),IF($AE$15:$AN$15=0,E47:N47,0),0),ROW(INDIRECT(CONCATENATE("1:"&amp;$P$13-$AO$15))))),0)</f>
        <v>#REF!</v>
      </c>
      <c r="CC47" t="e">
        <f ca="1"/>
        <v>#REF!</v>
      </c>
      <c r="CD47" t="e">
        <f ca="1"/>
        <v>#REF!</v>
      </c>
      <c r="CE47" t="e">
        <f ca="1"/>
        <v>#REF!</v>
      </c>
      <c r="CF47" t="e">
        <f ca="1"/>
        <v>#REF!</v>
      </c>
      <c r="CG47" t="e">
        <f ca="1"/>
        <v>#REF!</v>
      </c>
      <c r="CH47" t="e">
        <f ca="1"/>
        <v>#REF!</v>
      </c>
      <c r="CI47" t="e">
        <f ca="1"/>
        <v>#REF!</v>
      </c>
      <c r="CJ47" t="e">
        <f ca="1"/>
        <v>#REF!</v>
      </c>
      <c r="CK47" t="e">
        <f ca="1"/>
        <v>#REF!</v>
      </c>
      <c r="CL47" t="e">
        <f ca="1"/>
        <v>#REF!</v>
      </c>
    </row>
    <row r="48" spans="1:90" x14ac:dyDescent="0.2">
      <c r="A48" s="2"/>
      <c r="B48" s="5"/>
      <c r="C48" s="9" t="s">
        <v>134</v>
      </c>
      <c r="D48" s="9" t="s">
        <v>135</v>
      </c>
      <c r="E48" s="32"/>
      <c r="F48" s="32"/>
      <c r="G48" s="32"/>
      <c r="H48" s="32"/>
      <c r="I48" s="32"/>
      <c r="J48" s="32"/>
      <c r="K48" s="32"/>
      <c r="L48" s="32"/>
      <c r="M48" s="32"/>
      <c r="N48" s="32"/>
      <c r="O48" s="14" t="e">
        <f t="shared" ca="1" si="1"/>
        <v>#REF!</v>
      </c>
      <c r="P48" s="14" t="e">
        <f ca="1">(O48*100)/P11</f>
        <v>#REF!</v>
      </c>
      <c r="Q48" s="12"/>
      <c r="R48" s="17"/>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CB48" t="e">
        <f t="array" ref="CB48:CL48" ca="1">SUM(LARGE(IF(ISNUMBER(E48:N48),E48:N48*$AE$15:$AN$15,0),ROW(INDIRECT(CONCATENATE("1:"&amp;$P$13)))))+IF(($P$13-$AO$15)&gt;0,SUM(LARGE(IF(ISNUMBER(E48:N48),IF($AE$15:$AN$15=0,E48:N48,0),0),ROW(INDIRECT(CONCATENATE("1:"&amp;$P$13-$AO$15))))),0)</f>
        <v>#REF!</v>
      </c>
      <c r="CC48" t="e">
        <f ca="1"/>
        <v>#REF!</v>
      </c>
      <c r="CD48" t="e">
        <f ca="1"/>
        <v>#REF!</v>
      </c>
      <c r="CE48" t="e">
        <f ca="1"/>
        <v>#REF!</v>
      </c>
      <c r="CF48" t="e">
        <f ca="1"/>
        <v>#REF!</v>
      </c>
      <c r="CG48" t="e">
        <f ca="1"/>
        <v>#REF!</v>
      </c>
      <c r="CH48" t="e">
        <f ca="1"/>
        <v>#REF!</v>
      </c>
      <c r="CI48" t="e">
        <f ca="1"/>
        <v>#REF!</v>
      </c>
      <c r="CJ48" t="e">
        <f ca="1"/>
        <v>#REF!</v>
      </c>
      <c r="CK48" t="e">
        <f ca="1"/>
        <v>#REF!</v>
      </c>
      <c r="CL48" t="e">
        <f ca="1"/>
        <v>#REF!</v>
      </c>
    </row>
    <row r="49" spans="1:90" x14ac:dyDescent="0.2">
      <c r="A49" s="2"/>
      <c r="B49" s="5"/>
      <c r="C49" s="9" t="s">
        <v>137</v>
      </c>
      <c r="D49" s="9" t="s">
        <v>138</v>
      </c>
      <c r="E49" s="32"/>
      <c r="F49" s="32"/>
      <c r="G49" s="32"/>
      <c r="H49" s="32"/>
      <c r="I49" s="32"/>
      <c r="J49" s="32"/>
      <c r="K49" s="32"/>
      <c r="L49" s="32"/>
      <c r="M49" s="32"/>
      <c r="N49" s="32"/>
      <c r="O49" s="14" t="e">
        <f t="shared" ca="1" si="1"/>
        <v>#REF!</v>
      </c>
      <c r="P49" s="14" t="e">
        <f ca="1">(O49*100)/P11</f>
        <v>#REF!</v>
      </c>
      <c r="Q49" s="12"/>
      <c r="R49" s="17"/>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CB49" t="e">
        <f t="array" ref="CB49:CL49" ca="1">SUM(LARGE(IF(ISNUMBER(E49:N49),E49:N49*$AE$15:$AN$15,0),ROW(INDIRECT(CONCATENATE("1:"&amp;$P$13)))))+IF(($P$13-$AO$15)&gt;0,SUM(LARGE(IF(ISNUMBER(E49:N49),IF($AE$15:$AN$15=0,E49:N49,0),0),ROW(INDIRECT(CONCATENATE("1:"&amp;$P$13-$AO$15))))),0)</f>
        <v>#REF!</v>
      </c>
      <c r="CC49" t="e">
        <f ca="1"/>
        <v>#REF!</v>
      </c>
      <c r="CD49" t="e">
        <f ca="1"/>
        <v>#REF!</v>
      </c>
      <c r="CE49" t="e">
        <f ca="1"/>
        <v>#REF!</v>
      </c>
      <c r="CF49" t="e">
        <f ca="1"/>
        <v>#REF!</v>
      </c>
      <c r="CG49" t="e">
        <f ca="1"/>
        <v>#REF!</v>
      </c>
      <c r="CH49" t="e">
        <f ca="1"/>
        <v>#REF!</v>
      </c>
      <c r="CI49" t="e">
        <f ca="1"/>
        <v>#REF!</v>
      </c>
      <c r="CJ49" t="e">
        <f ca="1"/>
        <v>#REF!</v>
      </c>
      <c r="CK49" t="e">
        <f ca="1"/>
        <v>#REF!</v>
      </c>
      <c r="CL49" t="e">
        <f ca="1"/>
        <v>#REF!</v>
      </c>
    </row>
    <row r="50" spans="1:90" x14ac:dyDescent="0.2">
      <c r="A50" s="2"/>
      <c r="B50" s="5"/>
      <c r="C50" s="9" t="s">
        <v>140</v>
      </c>
      <c r="D50" s="9" t="s">
        <v>141</v>
      </c>
      <c r="E50" s="32"/>
      <c r="F50" s="32"/>
      <c r="G50" s="32"/>
      <c r="H50" s="32"/>
      <c r="I50" s="32"/>
      <c r="J50" s="32"/>
      <c r="K50" s="32"/>
      <c r="L50" s="32"/>
      <c r="M50" s="32"/>
      <c r="N50" s="32"/>
      <c r="O50" s="14" t="e">
        <f t="shared" ca="1" si="1"/>
        <v>#REF!</v>
      </c>
      <c r="P50" s="14" t="e">
        <f ca="1">(O50*100)/P11</f>
        <v>#REF!</v>
      </c>
      <c r="Q50" s="12"/>
      <c r="R50" s="17"/>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CB50" t="e">
        <f t="array" ref="CB50:CL50" ca="1">SUM(LARGE(IF(ISNUMBER(E50:N50),E50:N50*$AE$15:$AN$15,0),ROW(INDIRECT(CONCATENATE("1:"&amp;$P$13)))))+IF(($P$13-$AO$15)&gt;0,SUM(LARGE(IF(ISNUMBER(E50:N50),IF($AE$15:$AN$15=0,E50:N50,0),0),ROW(INDIRECT(CONCATENATE("1:"&amp;$P$13-$AO$15))))),0)</f>
        <v>#REF!</v>
      </c>
      <c r="CC50" t="e">
        <f ca="1"/>
        <v>#REF!</v>
      </c>
      <c r="CD50" t="e">
        <f ca="1"/>
        <v>#REF!</v>
      </c>
      <c r="CE50" t="e">
        <f ca="1"/>
        <v>#REF!</v>
      </c>
      <c r="CF50" t="e">
        <f ca="1"/>
        <v>#REF!</v>
      </c>
      <c r="CG50" t="e">
        <f ca="1"/>
        <v>#REF!</v>
      </c>
      <c r="CH50" t="e">
        <f ca="1"/>
        <v>#REF!</v>
      </c>
      <c r="CI50" t="e">
        <f ca="1"/>
        <v>#REF!</v>
      </c>
      <c r="CJ50" t="e">
        <f ca="1"/>
        <v>#REF!</v>
      </c>
      <c r="CK50" t="e">
        <f ca="1"/>
        <v>#REF!</v>
      </c>
      <c r="CL50" t="e">
        <f ca="1"/>
        <v>#REF!</v>
      </c>
    </row>
    <row r="51" spans="1:90" x14ac:dyDescent="0.2">
      <c r="A51" s="2"/>
      <c r="B51" s="5"/>
      <c r="C51" s="9" t="s">
        <v>143</v>
      </c>
      <c r="D51" s="9" t="s">
        <v>144</v>
      </c>
      <c r="E51" s="32"/>
      <c r="F51" s="32"/>
      <c r="G51" s="32"/>
      <c r="H51" s="32"/>
      <c r="I51" s="32"/>
      <c r="J51" s="32"/>
      <c r="K51" s="32"/>
      <c r="L51" s="32"/>
      <c r="M51" s="32"/>
      <c r="N51" s="32"/>
      <c r="O51" s="14" t="e">
        <f t="shared" ca="1" si="1"/>
        <v>#REF!</v>
      </c>
      <c r="P51" s="14" t="e">
        <f ca="1">(O51*100)/P11</f>
        <v>#REF!</v>
      </c>
      <c r="Q51" s="12"/>
      <c r="R51" s="17"/>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CB51" t="e">
        <f t="array" ref="CB51:CL51" ca="1">SUM(LARGE(IF(ISNUMBER(E51:N51),E51:N51*$AE$15:$AN$15,0),ROW(INDIRECT(CONCATENATE("1:"&amp;$P$13)))))+IF(($P$13-$AO$15)&gt;0,SUM(LARGE(IF(ISNUMBER(E51:N51),IF($AE$15:$AN$15=0,E51:N51,0),0),ROW(INDIRECT(CONCATENATE("1:"&amp;$P$13-$AO$15))))),0)</f>
        <v>#REF!</v>
      </c>
      <c r="CC51" t="e">
        <f ca="1"/>
        <v>#REF!</v>
      </c>
      <c r="CD51" t="e">
        <f ca="1"/>
        <v>#REF!</v>
      </c>
      <c r="CE51" t="e">
        <f ca="1"/>
        <v>#REF!</v>
      </c>
      <c r="CF51" t="e">
        <f ca="1"/>
        <v>#REF!</v>
      </c>
      <c r="CG51" t="e">
        <f ca="1"/>
        <v>#REF!</v>
      </c>
      <c r="CH51" t="e">
        <f ca="1"/>
        <v>#REF!</v>
      </c>
      <c r="CI51" t="e">
        <f ca="1"/>
        <v>#REF!</v>
      </c>
      <c r="CJ51" t="e">
        <f ca="1"/>
        <v>#REF!</v>
      </c>
      <c r="CK51" t="e">
        <f ca="1"/>
        <v>#REF!</v>
      </c>
      <c r="CL51" t="e">
        <f ca="1"/>
        <v>#REF!</v>
      </c>
    </row>
    <row r="52" spans="1:90" x14ac:dyDescent="0.2">
      <c r="A52" s="2"/>
      <c r="B52" s="5"/>
      <c r="C52" s="5"/>
      <c r="D52" s="5"/>
      <c r="E52" s="5"/>
      <c r="F52" s="5"/>
      <c r="G52" s="5"/>
      <c r="H52" s="5"/>
      <c r="I52" s="5"/>
      <c r="J52" s="5"/>
      <c r="K52" s="5"/>
      <c r="L52" s="5"/>
      <c r="M52" s="5"/>
      <c r="N52" s="5"/>
      <c r="O52" s="5"/>
      <c r="P52" s="5"/>
      <c r="Q52" s="5"/>
      <c r="R52" s="17"/>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row>
    <row r="53" spans="1:90" x14ac:dyDescent="0.2">
      <c r="A53" s="2"/>
      <c r="B53" s="5"/>
      <c r="C53" s="5" t="s">
        <v>239</v>
      </c>
      <c r="D53" s="5" t="s">
        <v>240</v>
      </c>
      <c r="E53" s="5"/>
      <c r="F53" s="5"/>
      <c r="G53" s="5"/>
      <c r="H53" s="5"/>
      <c r="I53" s="5"/>
      <c r="J53" s="5"/>
      <c r="K53" s="5"/>
      <c r="L53" s="5"/>
      <c r="M53" s="5"/>
      <c r="N53" s="5"/>
      <c r="O53" s="5"/>
      <c r="P53" s="5"/>
      <c r="Q53" s="5"/>
      <c r="R53" s="17"/>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1:90" x14ac:dyDescent="0.2">
      <c r="A54" s="2"/>
      <c r="B54" s="5"/>
      <c r="C54" s="9" t="str">
        <f>'White Sheet'!C54</f>
        <v xml:space="preserve">   --- Missing</v>
      </c>
      <c r="D54" s="9" t="str">
        <f>'White Sheet'!D54</f>
        <v>Student---</v>
      </c>
      <c r="E54" s="32"/>
      <c r="F54" s="32"/>
      <c r="G54" s="32"/>
      <c r="H54" s="32"/>
      <c r="I54" s="32"/>
      <c r="J54" s="32"/>
      <c r="K54" s="32"/>
      <c r="L54" s="32"/>
      <c r="M54" s="32"/>
      <c r="N54" s="32"/>
      <c r="O54" s="14" t="e">
        <f ca="1" xml:space="preserve"> CB54</f>
        <v>#REF!</v>
      </c>
      <c r="P54" s="14" t="e">
        <f ca="1">(O54*100)/P11</f>
        <v>#REF!</v>
      </c>
      <c r="Q54" s="12"/>
      <c r="R54" s="17"/>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CB54" t="e">
        <f t="array" ref="CB54:CL54" ca="1">SUM(LARGE(IF(ISNUMBER(E54:N54),E54:N54*$AE$15:$AN$15,0),ROW(INDIRECT(CONCATENATE("1:"&amp;$P$13)))))+IF(($P$13-$AO$15)&gt;0,SUM(LARGE(IF(ISNUMBER(E54:N54),IF($AE$15:$AN$15=0,E54:N54,0),0),ROW(INDIRECT(CONCATENATE("1:"&amp;$P$13-$AO$15))))),0)</f>
        <v>#REF!</v>
      </c>
      <c r="CC54" t="e">
        <f ca="1"/>
        <v>#REF!</v>
      </c>
      <c r="CD54" t="e">
        <f ca="1"/>
        <v>#REF!</v>
      </c>
      <c r="CE54" t="e">
        <f ca="1"/>
        <v>#REF!</v>
      </c>
      <c r="CF54" t="e">
        <f ca="1"/>
        <v>#REF!</v>
      </c>
      <c r="CG54" t="e">
        <f ca="1"/>
        <v>#REF!</v>
      </c>
      <c r="CH54" t="e">
        <f ca="1"/>
        <v>#REF!</v>
      </c>
      <c r="CI54" t="e">
        <f ca="1"/>
        <v>#REF!</v>
      </c>
      <c r="CJ54" t="e">
        <f ca="1"/>
        <v>#REF!</v>
      </c>
      <c r="CK54" t="e">
        <f ca="1"/>
        <v>#REF!</v>
      </c>
      <c r="CL54" t="e">
        <f ca="1"/>
        <v>#REF!</v>
      </c>
    </row>
    <row r="55" spans="1:90" x14ac:dyDescent="0.2">
      <c r="A55" s="2"/>
      <c r="B55" s="5"/>
      <c r="C55" s="9" t="str">
        <f>'White Sheet'!C55</f>
        <v xml:space="preserve">   --- Missing</v>
      </c>
      <c r="D55" s="9" t="str">
        <f>'White Sheet'!D55</f>
        <v>Student---</v>
      </c>
      <c r="E55" s="32"/>
      <c r="F55" s="32"/>
      <c r="G55" s="32"/>
      <c r="H55" s="32"/>
      <c r="I55" s="32"/>
      <c r="J55" s="32"/>
      <c r="K55" s="32"/>
      <c r="L55" s="32"/>
      <c r="M55" s="32"/>
      <c r="N55" s="32"/>
      <c r="O55" s="14" t="e">
        <f ca="1" xml:space="preserve"> CB55</f>
        <v>#REF!</v>
      </c>
      <c r="P55" s="14" t="e">
        <f ca="1">(O55*100)/P11</f>
        <v>#REF!</v>
      </c>
      <c r="Q55" s="12"/>
      <c r="R55" s="17"/>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CB55" t="e">
        <f t="array" ref="CB55:CL55" ca="1">SUM(LARGE(IF(ISNUMBER(E55:N55),E55:N55*$AE$15:$AN$15,0),ROW(INDIRECT(CONCATENATE("1:"&amp;$P$13)))))+IF(($P$13-$AO$15)&gt;0,SUM(LARGE(IF(ISNUMBER(E55:N55),IF($AE$15:$AN$15=0,E55:N55,0),0),ROW(INDIRECT(CONCATENATE("1:"&amp;$P$13-$AO$15))))),0)</f>
        <v>#REF!</v>
      </c>
      <c r="CC55" t="e">
        <f ca="1"/>
        <v>#REF!</v>
      </c>
      <c r="CD55" t="e">
        <f ca="1"/>
        <v>#REF!</v>
      </c>
      <c r="CE55" t="e">
        <f ca="1"/>
        <v>#REF!</v>
      </c>
      <c r="CF55" t="e">
        <f ca="1"/>
        <v>#REF!</v>
      </c>
      <c r="CG55" t="e">
        <f ca="1"/>
        <v>#REF!</v>
      </c>
      <c r="CH55" t="e">
        <f ca="1"/>
        <v>#REF!</v>
      </c>
      <c r="CI55" t="e">
        <f ca="1"/>
        <v>#REF!</v>
      </c>
      <c r="CJ55" t="e">
        <f ca="1"/>
        <v>#REF!</v>
      </c>
      <c r="CK55" t="e">
        <f ca="1"/>
        <v>#REF!</v>
      </c>
      <c r="CL55" t="e">
        <f ca="1"/>
        <v>#REF!</v>
      </c>
    </row>
    <row r="56" spans="1:90" x14ac:dyDescent="0.2">
      <c r="A56" s="2"/>
      <c r="B56" s="5"/>
      <c r="C56" s="9" t="str">
        <f>'White Sheet'!C56</f>
        <v xml:space="preserve">   --- Missing</v>
      </c>
      <c r="D56" s="9" t="str">
        <f>'White Sheet'!D56</f>
        <v>Student---</v>
      </c>
      <c r="E56" s="32"/>
      <c r="F56" s="32"/>
      <c r="G56" s="32"/>
      <c r="H56" s="32"/>
      <c r="I56" s="32"/>
      <c r="J56" s="32"/>
      <c r="K56" s="32"/>
      <c r="L56" s="32"/>
      <c r="M56" s="32"/>
      <c r="N56" s="32"/>
      <c r="O56" s="14" t="e">
        <f ca="1" xml:space="preserve"> CB56</f>
        <v>#REF!</v>
      </c>
      <c r="P56" s="14" t="e">
        <f ca="1">(O56*100)/P11</f>
        <v>#REF!</v>
      </c>
      <c r="Q56" s="12"/>
      <c r="R56" s="17"/>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CB56" t="e">
        <f t="array" ref="CB56:CL56" ca="1">SUM(LARGE(IF(ISNUMBER(E56:N56),E56:N56*$AE$15:$AN$15,0),ROW(INDIRECT(CONCATENATE("1:"&amp;$P$13)))))+IF(($P$13-$AO$15)&gt;0,SUM(LARGE(IF(ISNUMBER(E56:N56),IF($AE$15:$AN$15=0,E56:N56,0),0),ROW(INDIRECT(CONCATENATE("1:"&amp;$P$13-$AO$15))))),0)</f>
        <v>#REF!</v>
      </c>
      <c r="CC56" t="e">
        <f ca="1"/>
        <v>#REF!</v>
      </c>
      <c r="CD56" t="e">
        <f ca="1"/>
        <v>#REF!</v>
      </c>
      <c r="CE56" t="e">
        <f ca="1"/>
        <v>#REF!</v>
      </c>
      <c r="CF56" t="e">
        <f ca="1"/>
        <v>#REF!</v>
      </c>
      <c r="CG56" t="e">
        <f ca="1"/>
        <v>#REF!</v>
      </c>
      <c r="CH56" t="e">
        <f ca="1"/>
        <v>#REF!</v>
      </c>
      <c r="CI56" t="e">
        <f ca="1"/>
        <v>#REF!</v>
      </c>
      <c r="CJ56" t="e">
        <f ca="1"/>
        <v>#REF!</v>
      </c>
      <c r="CK56" t="e">
        <f ca="1"/>
        <v>#REF!</v>
      </c>
      <c r="CL56" t="e">
        <f ca="1"/>
        <v>#REF!</v>
      </c>
    </row>
    <row r="57" spans="1:90" x14ac:dyDescent="0.2">
      <c r="A57" s="2"/>
      <c r="B57" s="5"/>
      <c r="C57" s="9" t="str">
        <f>'White Sheet'!C57</f>
        <v xml:space="preserve">   --- Missing</v>
      </c>
      <c r="D57" s="9" t="str">
        <f>'White Sheet'!D57</f>
        <v>Student---</v>
      </c>
      <c r="E57" s="32"/>
      <c r="F57" s="32"/>
      <c r="G57" s="32"/>
      <c r="H57" s="32"/>
      <c r="I57" s="32"/>
      <c r="J57" s="32"/>
      <c r="K57" s="32"/>
      <c r="L57" s="32"/>
      <c r="M57" s="32"/>
      <c r="N57" s="32"/>
      <c r="O57" s="14" t="e">
        <f ca="1" xml:space="preserve"> CB57</f>
        <v>#REF!</v>
      </c>
      <c r="P57" s="14" t="e">
        <f ca="1">(O57*100)/P11</f>
        <v>#REF!</v>
      </c>
      <c r="Q57" s="12"/>
      <c r="R57" s="17"/>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CB57" t="e">
        <f t="array" ref="CB57:CL57" ca="1">SUM(LARGE(IF(ISNUMBER(E57:N57),E57:N57*$AE$15:$AN$15,0),ROW(INDIRECT(CONCATENATE("1:"&amp;$P$13)))))+IF(($P$13-$AO$15)&gt;0,SUM(LARGE(IF(ISNUMBER(E57:N57),IF($AE$15:$AN$15=0,E57:N57,0),0),ROW(INDIRECT(CONCATENATE("1:"&amp;$P$13-$AO$15))))),0)</f>
        <v>#REF!</v>
      </c>
      <c r="CC57" t="e">
        <f ca="1"/>
        <v>#REF!</v>
      </c>
      <c r="CD57" t="e">
        <f ca="1"/>
        <v>#REF!</v>
      </c>
      <c r="CE57" t="e">
        <f ca="1"/>
        <v>#REF!</v>
      </c>
      <c r="CF57" t="e">
        <f ca="1"/>
        <v>#REF!</v>
      </c>
      <c r="CG57" t="e">
        <f ca="1"/>
        <v>#REF!</v>
      </c>
      <c r="CH57" t="e">
        <f ca="1"/>
        <v>#REF!</v>
      </c>
      <c r="CI57" t="e">
        <f ca="1"/>
        <v>#REF!</v>
      </c>
      <c r="CJ57" t="e">
        <f ca="1"/>
        <v>#REF!</v>
      </c>
      <c r="CK57" t="e">
        <f ca="1"/>
        <v>#REF!</v>
      </c>
      <c r="CL57" t="e">
        <f ca="1"/>
        <v>#REF!</v>
      </c>
    </row>
    <row r="58" spans="1:90" x14ac:dyDescent="0.2">
      <c r="A58" s="2"/>
      <c r="B58" s="5"/>
      <c r="C58" s="9" t="str">
        <f>'White Sheet'!C58</f>
        <v xml:space="preserve">   --- Missing</v>
      </c>
      <c r="D58" s="9" t="str">
        <f>'White Sheet'!D58</f>
        <v>Student---</v>
      </c>
      <c r="E58" s="32"/>
      <c r="F58" s="32"/>
      <c r="G58" s="32"/>
      <c r="H58" s="32"/>
      <c r="I58" s="32"/>
      <c r="J58" s="32"/>
      <c r="K58" s="32"/>
      <c r="L58" s="32"/>
      <c r="M58" s="32"/>
      <c r="N58" s="32"/>
      <c r="O58" s="14" t="e">
        <f ca="1" xml:space="preserve"> CB58</f>
        <v>#REF!</v>
      </c>
      <c r="P58" s="14" t="e">
        <f ca="1">(O58*100)/P11</f>
        <v>#REF!</v>
      </c>
      <c r="Q58" s="12"/>
      <c r="R58" s="17"/>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CB58" t="e">
        <f t="array" ref="CB58:CL58" ca="1">SUM(LARGE(IF(ISNUMBER(E58:N58),E58:N58*$AE$15:$AN$15,0),ROW(INDIRECT(CONCATENATE("1:"&amp;$P$13)))))+IF(($P$13-$AO$15)&gt;0,SUM(LARGE(IF(ISNUMBER(E58:N58),IF($AE$15:$AN$15=0,E58:N58,0),0),ROW(INDIRECT(CONCATENATE("1:"&amp;$P$13-$AO$15))))),0)</f>
        <v>#REF!</v>
      </c>
      <c r="CC58" t="e">
        <f ca="1"/>
        <v>#REF!</v>
      </c>
      <c r="CD58" t="e">
        <f ca="1"/>
        <v>#REF!</v>
      </c>
      <c r="CE58" t="e">
        <f ca="1"/>
        <v>#REF!</v>
      </c>
      <c r="CF58" t="e">
        <f ca="1"/>
        <v>#REF!</v>
      </c>
      <c r="CG58" t="e">
        <f ca="1"/>
        <v>#REF!</v>
      </c>
      <c r="CH58" t="e">
        <f ca="1"/>
        <v>#REF!</v>
      </c>
      <c r="CI58" t="e">
        <f ca="1"/>
        <v>#REF!</v>
      </c>
      <c r="CJ58" t="e">
        <f ca="1"/>
        <v>#REF!</v>
      </c>
      <c r="CK58" t="e">
        <f ca="1"/>
        <v>#REF!</v>
      </c>
      <c r="CL58" t="e">
        <f ca="1"/>
        <v>#REF!</v>
      </c>
    </row>
    <row r="59" spans="1:90" x14ac:dyDescent="0.2">
      <c r="A59" s="2"/>
      <c r="B59" s="5"/>
      <c r="C59" s="5"/>
      <c r="D59" s="5"/>
      <c r="E59" s="5"/>
      <c r="F59" s="5"/>
      <c r="G59" s="5"/>
      <c r="H59" s="5"/>
      <c r="I59" s="5"/>
      <c r="J59" s="5"/>
      <c r="K59" s="5"/>
      <c r="L59" s="5"/>
      <c r="M59" s="5"/>
      <c r="N59" s="5"/>
      <c r="O59" s="5"/>
      <c r="P59" s="5"/>
      <c r="Q59" s="5"/>
      <c r="R59" s="17"/>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row>
    <row r="60" spans="1:90" x14ac:dyDescent="0.2">
      <c r="A60" s="2"/>
      <c r="B60" s="5"/>
      <c r="C60" s="5"/>
      <c r="D60" s="5"/>
      <c r="E60" s="5"/>
      <c r="F60" s="5"/>
      <c r="G60" s="5"/>
      <c r="H60" s="5"/>
      <c r="I60" s="5"/>
      <c r="J60" s="5"/>
      <c r="K60" s="5"/>
      <c r="L60" s="5"/>
      <c r="M60" s="5"/>
      <c r="N60" s="5"/>
      <c r="O60" s="5"/>
      <c r="P60" s="5"/>
      <c r="Q60" s="5"/>
      <c r="R60" s="17"/>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1:90" x14ac:dyDescent="0.2">
      <c r="A61" s="2"/>
      <c r="B61" s="5"/>
      <c r="C61" s="8" t="s">
        <v>160</v>
      </c>
      <c r="D61" s="10" t="s">
        <v>161</v>
      </c>
      <c r="E61" s="5"/>
      <c r="F61" s="5"/>
      <c r="G61" s="5"/>
      <c r="H61" s="5"/>
      <c r="I61" s="5"/>
      <c r="J61" s="5"/>
      <c r="K61" s="5"/>
      <c r="L61" s="5"/>
      <c r="M61" s="5"/>
      <c r="N61" s="5"/>
      <c r="O61" s="5"/>
      <c r="P61" s="5"/>
      <c r="Q61" s="5"/>
      <c r="R61" s="17"/>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1:90" x14ac:dyDescent="0.2">
      <c r="A62" s="2"/>
      <c r="B62" s="5"/>
      <c r="C62" s="47"/>
      <c r="D62" s="48"/>
      <c r="E62" s="48"/>
      <c r="F62" s="48"/>
      <c r="G62" s="48"/>
      <c r="H62" s="48"/>
      <c r="I62" s="48"/>
      <c r="J62" s="48"/>
      <c r="K62" s="48"/>
      <c r="L62" s="48"/>
      <c r="M62" s="48"/>
      <c r="N62" s="48"/>
      <c r="O62" s="48"/>
      <c r="P62" s="48"/>
      <c r="Q62" s="48"/>
      <c r="R62" s="17"/>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1:90" x14ac:dyDescent="0.2">
      <c r="A63" s="2"/>
      <c r="B63" s="5"/>
      <c r="C63" s="48"/>
      <c r="D63" s="48"/>
      <c r="E63" s="48"/>
      <c r="F63" s="48"/>
      <c r="G63" s="48"/>
      <c r="H63" s="48"/>
      <c r="I63" s="48"/>
      <c r="J63" s="48"/>
      <c r="K63" s="48"/>
      <c r="L63" s="48"/>
      <c r="M63" s="48"/>
      <c r="N63" s="48"/>
      <c r="O63" s="48"/>
      <c r="P63" s="48"/>
      <c r="Q63" s="48"/>
      <c r="R63" s="17"/>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1:90" x14ac:dyDescent="0.2">
      <c r="A64" s="2"/>
      <c r="B64" s="5"/>
      <c r="C64" s="48"/>
      <c r="D64" s="48"/>
      <c r="E64" s="48"/>
      <c r="F64" s="48"/>
      <c r="G64" s="48"/>
      <c r="H64" s="48"/>
      <c r="I64" s="48"/>
      <c r="J64" s="48"/>
      <c r="K64" s="48"/>
      <c r="L64" s="48"/>
      <c r="M64" s="48"/>
      <c r="N64" s="48"/>
      <c r="O64" s="48"/>
      <c r="P64" s="48"/>
      <c r="Q64" s="48"/>
      <c r="R64" s="17"/>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1:52" x14ac:dyDescent="0.2">
      <c r="A65" s="2"/>
      <c r="B65" s="5"/>
      <c r="C65" s="48"/>
      <c r="D65" s="48"/>
      <c r="E65" s="48"/>
      <c r="F65" s="48"/>
      <c r="G65" s="48"/>
      <c r="H65" s="48"/>
      <c r="I65" s="48"/>
      <c r="J65" s="48"/>
      <c r="K65" s="48"/>
      <c r="L65" s="48"/>
      <c r="M65" s="48"/>
      <c r="N65" s="48"/>
      <c r="O65" s="48"/>
      <c r="P65" s="48"/>
      <c r="Q65" s="48"/>
      <c r="R65" s="17"/>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1:52" x14ac:dyDescent="0.2">
      <c r="A66" s="2"/>
      <c r="B66" s="5"/>
      <c r="C66" s="48"/>
      <c r="D66" s="48"/>
      <c r="E66" s="48"/>
      <c r="F66" s="48"/>
      <c r="G66" s="48"/>
      <c r="H66" s="48"/>
      <c r="I66" s="48"/>
      <c r="J66" s="48"/>
      <c r="K66" s="48"/>
      <c r="L66" s="48"/>
      <c r="M66" s="48"/>
      <c r="N66" s="48"/>
      <c r="O66" s="48"/>
      <c r="P66" s="48"/>
      <c r="Q66" s="48"/>
      <c r="R66" s="17"/>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row>
    <row r="67" spans="1:52" x14ac:dyDescent="0.2">
      <c r="A67" s="2"/>
      <c r="B67" s="5"/>
      <c r="C67" s="48"/>
      <c r="D67" s="48"/>
      <c r="E67" s="48"/>
      <c r="F67" s="48"/>
      <c r="G67" s="48"/>
      <c r="H67" s="48"/>
      <c r="I67" s="48"/>
      <c r="J67" s="48"/>
      <c r="K67" s="48"/>
      <c r="L67" s="48"/>
      <c r="M67" s="48"/>
      <c r="N67" s="48"/>
      <c r="O67" s="48"/>
      <c r="P67" s="48"/>
      <c r="Q67" s="48"/>
      <c r="R67" s="17"/>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row>
    <row r="68" spans="1:52" x14ac:dyDescent="0.2">
      <c r="A68" s="2"/>
      <c r="B68" s="5"/>
      <c r="C68" s="48"/>
      <c r="D68" s="48"/>
      <c r="E68" s="48"/>
      <c r="F68" s="48"/>
      <c r="G68" s="48"/>
      <c r="H68" s="48"/>
      <c r="I68" s="48"/>
      <c r="J68" s="48"/>
      <c r="K68" s="48"/>
      <c r="L68" s="48"/>
      <c r="M68" s="48"/>
      <c r="N68" s="48"/>
      <c r="O68" s="48"/>
      <c r="P68" s="48"/>
      <c r="Q68" s="48"/>
      <c r="R68" s="17"/>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row>
    <row r="69" spans="1:52" x14ac:dyDescent="0.2">
      <c r="A69" s="2"/>
      <c r="B69" s="5"/>
      <c r="C69" s="48"/>
      <c r="D69" s="48"/>
      <c r="E69" s="48"/>
      <c r="F69" s="48"/>
      <c r="G69" s="48"/>
      <c r="H69" s="48"/>
      <c r="I69" s="48"/>
      <c r="J69" s="48"/>
      <c r="K69" s="48"/>
      <c r="L69" s="48"/>
      <c r="M69" s="48"/>
      <c r="N69" s="48"/>
      <c r="O69" s="48"/>
      <c r="P69" s="48"/>
      <c r="Q69" s="48"/>
      <c r="R69" s="17"/>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1:52" x14ac:dyDescent="0.2">
      <c r="A70" s="2"/>
      <c r="B70" s="5"/>
      <c r="C70" s="5"/>
      <c r="D70" s="5"/>
      <c r="E70" s="5"/>
      <c r="F70" s="5"/>
      <c r="G70" s="5"/>
      <c r="H70" s="5"/>
      <c r="I70" s="5"/>
      <c r="J70" s="5"/>
      <c r="K70" s="5"/>
      <c r="L70" s="5"/>
      <c r="M70" s="5"/>
      <c r="N70" s="5"/>
      <c r="O70" s="5"/>
      <c r="P70" s="5"/>
      <c r="Q70" s="5"/>
      <c r="R70" s="17"/>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1:52" x14ac:dyDescent="0.2">
      <c r="A71" s="2"/>
      <c r="B71" s="5"/>
      <c r="C71" s="5"/>
      <c r="D71" s="5" t="s">
        <v>241</v>
      </c>
      <c r="E71" s="5"/>
      <c r="F71" s="43"/>
      <c r="G71" s="44"/>
      <c r="H71" s="44"/>
      <c r="I71" s="44"/>
      <c r="J71" s="44"/>
      <c r="K71" s="5"/>
      <c r="L71" s="5" t="s">
        <v>242</v>
      </c>
      <c r="M71" s="43"/>
      <c r="N71" s="44"/>
      <c r="O71" s="44"/>
      <c r="P71" s="5"/>
      <c r="Q71" s="5"/>
      <c r="R71" s="17"/>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1:52" x14ac:dyDescent="0.2">
      <c r="A72" s="2"/>
      <c r="B72" s="5"/>
      <c r="C72" s="5"/>
      <c r="D72" s="5"/>
      <c r="E72" s="5"/>
      <c r="F72" s="49"/>
      <c r="G72" s="44"/>
      <c r="H72" s="44"/>
      <c r="I72" s="44"/>
      <c r="J72" s="44"/>
      <c r="K72" s="5"/>
      <c r="L72" s="5"/>
      <c r="M72" s="5"/>
      <c r="N72" s="5"/>
      <c r="O72" s="5"/>
      <c r="P72" s="5"/>
      <c r="Q72" s="5"/>
      <c r="R72" s="17"/>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row>
    <row r="73" spans="1:52" x14ac:dyDescent="0.2">
      <c r="A73" s="2"/>
      <c r="B73" s="5"/>
      <c r="C73" s="5"/>
      <c r="D73" s="5"/>
      <c r="E73" s="5"/>
      <c r="F73" s="49"/>
      <c r="G73" s="44"/>
      <c r="H73" s="44"/>
      <c r="I73" s="44"/>
      <c r="J73" s="44"/>
      <c r="K73" s="5"/>
      <c r="L73" s="5"/>
      <c r="M73" s="5"/>
      <c r="N73" s="5"/>
      <c r="O73" s="5"/>
      <c r="P73" s="5"/>
      <c r="Q73" s="5"/>
      <c r="R73" s="17"/>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1:52" x14ac:dyDescent="0.2">
      <c r="A74" s="2"/>
      <c r="B74" s="5"/>
      <c r="C74" s="5"/>
      <c r="D74" s="5"/>
      <c r="E74" s="5"/>
      <c r="F74" s="5"/>
      <c r="G74" s="5"/>
      <c r="H74" s="5"/>
      <c r="I74" s="5"/>
      <c r="J74" s="5"/>
      <c r="K74" s="5"/>
      <c r="L74" s="5"/>
      <c r="M74" s="5"/>
      <c r="N74" s="5"/>
      <c r="O74" s="5"/>
      <c r="P74" s="5"/>
      <c r="Q74" s="5"/>
      <c r="R74" s="17"/>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1:52" x14ac:dyDescent="0.2">
      <c r="A75" s="2"/>
      <c r="B75" s="5"/>
      <c r="C75" s="5"/>
      <c r="D75" s="5" t="s">
        <v>178</v>
      </c>
      <c r="E75" s="5"/>
      <c r="F75" s="43"/>
      <c r="G75" s="44"/>
      <c r="H75" s="44"/>
      <c r="I75" s="44"/>
      <c r="J75" s="44"/>
      <c r="K75" s="5"/>
      <c r="L75" s="5" t="s">
        <v>242</v>
      </c>
      <c r="M75" s="43"/>
      <c r="N75" s="44"/>
      <c r="O75" s="44"/>
      <c r="P75" s="5"/>
      <c r="Q75" s="5"/>
      <c r="R75" s="17"/>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1:52" x14ac:dyDescent="0.2">
      <c r="A76" s="2"/>
      <c r="B76" s="5"/>
      <c r="C76" s="5"/>
      <c r="D76" s="5"/>
      <c r="E76" s="5"/>
      <c r="F76" s="5"/>
      <c r="G76" s="5"/>
      <c r="H76" s="5"/>
      <c r="I76" s="5"/>
      <c r="J76" s="5"/>
      <c r="K76" s="5"/>
      <c r="L76" s="5"/>
      <c r="M76" s="5"/>
      <c r="N76" s="5"/>
      <c r="O76" s="5"/>
      <c r="P76" s="5"/>
      <c r="Q76" s="5"/>
      <c r="R76" s="17"/>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1:52" x14ac:dyDescent="0.2">
      <c r="A77" s="2"/>
      <c r="B77" s="5"/>
      <c r="C77" s="5"/>
      <c r="D77" s="5" t="s">
        <v>181</v>
      </c>
      <c r="E77" s="5"/>
      <c r="F77" s="5"/>
      <c r="G77" s="5"/>
      <c r="H77" s="5"/>
      <c r="I77" s="5"/>
      <c r="J77" s="5"/>
      <c r="K77" s="5"/>
      <c r="L77" s="5"/>
      <c r="M77" s="5"/>
      <c r="N77" s="5"/>
      <c r="O77" s="5"/>
      <c r="P77" s="5"/>
      <c r="Q77" s="5"/>
      <c r="R77" s="17"/>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1:52" x14ac:dyDescent="0.2">
      <c r="A78" s="2"/>
      <c r="B78" s="5"/>
      <c r="C78" s="5"/>
      <c r="D78" s="5"/>
      <c r="E78" s="5"/>
      <c r="F78" s="5"/>
      <c r="G78" s="5"/>
      <c r="H78" s="5"/>
      <c r="I78" s="5"/>
      <c r="J78" s="5"/>
      <c r="K78" s="5"/>
      <c r="L78" s="5"/>
      <c r="M78" s="5"/>
      <c r="N78" s="5"/>
      <c r="O78" s="5"/>
      <c r="P78" s="5"/>
      <c r="Q78" s="5"/>
      <c r="R78" s="17"/>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1:52" x14ac:dyDescent="0.2">
      <c r="A79" s="2"/>
      <c r="B79" s="5"/>
      <c r="C79" s="5"/>
      <c r="D79" s="5"/>
      <c r="E79" s="5"/>
      <c r="F79" s="5"/>
      <c r="G79" s="5"/>
      <c r="H79" s="5"/>
      <c r="I79" s="5"/>
      <c r="J79" s="5"/>
      <c r="K79" s="5"/>
      <c r="L79" s="5"/>
      <c r="M79" s="5"/>
      <c r="N79" s="5"/>
      <c r="O79" s="5"/>
      <c r="P79" s="5"/>
      <c r="Q79" s="5"/>
      <c r="R79" s="17"/>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1:52" x14ac:dyDescent="0.2">
      <c r="A80" s="1"/>
      <c r="B80" s="3"/>
      <c r="C80" s="3"/>
      <c r="D80" s="3"/>
      <c r="E80" s="3"/>
      <c r="F80" s="3"/>
      <c r="G80" s="3"/>
      <c r="H80" s="3"/>
      <c r="I80" s="3"/>
      <c r="J80" s="3"/>
      <c r="K80" s="3"/>
      <c r="L80" s="3"/>
      <c r="M80" s="3"/>
      <c r="N80" s="3"/>
      <c r="O80" s="3"/>
      <c r="P80" s="3"/>
      <c r="Q80" s="3"/>
      <c r="R80" s="3"/>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1:52"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1:52"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1:52"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1:52"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1:52"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row>
    <row r="86" spans="1:52"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row>
    <row r="88" spans="1:52"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row>
    <row r="90" spans="1:52"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row>
    <row r="91" spans="1:52"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row>
    <row r="92" spans="1:52"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row>
    <row r="93" spans="1:52"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row>
    <row r="94" spans="1:52"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row>
    <row r="95" spans="1:52"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row>
    <row r="96" spans="1:52"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row>
    <row r="97" spans="1:52"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row>
    <row r="98" spans="1:52"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row>
    <row r="99" spans="1:52"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row>
    <row r="100" spans="1:52"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row>
    <row r="101" spans="1:52"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row>
    <row r="102" spans="1:52"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row>
    <row r="103" spans="1:52"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row>
    <row r="105" spans="1:52"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row>
    <row r="106" spans="1:52"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row>
    <row r="107" spans="1:52"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row>
    <row r="108" spans="1:52"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row>
    <row r="109" spans="1:52"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row>
    <row r="110" spans="1:52"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row>
    <row r="111" spans="1:52"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row>
    <row r="112" spans="1:52"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row>
    <row r="113" spans="1:52"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row>
    <row r="114" spans="1:52"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row>
    <row r="115" spans="1:52"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row>
    <row r="116" spans="1:52"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row>
    <row r="117" spans="1:52"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row>
    <row r="118" spans="1:52"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row>
    <row r="119" spans="1:52"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row>
    <row r="120" spans="1:52"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row>
    <row r="121" spans="1:52"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row>
    <row r="122" spans="1:52"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row>
    <row r="123" spans="1:52"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row>
    <row r="124" spans="1:52"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row>
    <row r="125" spans="1:52"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row>
    <row r="126" spans="1:52"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row>
    <row r="127" spans="1:52"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row>
    <row r="128" spans="1:52"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row>
    <row r="129" spans="1:52"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row>
    <row r="130" spans="1:52"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row>
    <row r="131" spans="1:52"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row>
    <row r="132" spans="1:52"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row>
    <row r="133" spans="1:52"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row>
    <row r="134" spans="1:52"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row>
    <row r="135" spans="1:52"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row>
    <row r="136" spans="1:52"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row>
    <row r="137" spans="1:52"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row>
    <row r="138" spans="1:52"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row>
    <row r="139" spans="1:52"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row>
    <row r="140" spans="1:52"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row>
    <row r="141" spans="1:52"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row>
    <row r="142" spans="1:52"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row>
    <row r="143" spans="1:52"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row>
    <row r="144" spans="1:52"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row>
    <row r="145" spans="1:52"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row>
    <row r="146" spans="1:52"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row>
    <row r="147" spans="1:52"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row>
    <row r="148" spans="1:52"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row>
    <row r="149" spans="1:52"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row>
    <row r="150" spans="1:52"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row>
    <row r="151" spans="1:52"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row>
    <row r="152" spans="1:52"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row>
    <row r="153" spans="1:52"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row>
    <row r="154" spans="1:52"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row>
    <row r="155" spans="1:52"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row>
    <row r="156" spans="1:52"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row>
    <row r="157" spans="1:52"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row>
    <row r="158" spans="1:52"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row>
    <row r="159" spans="1:52"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row>
  </sheetData>
  <sheetProtection sheet="1"/>
  <mergeCells count="18">
    <mergeCell ref="C3:P3"/>
    <mergeCell ref="C4:P4"/>
    <mergeCell ref="C5:P5"/>
    <mergeCell ref="C7:P7"/>
    <mergeCell ref="C9:D9"/>
    <mergeCell ref="F75:J75"/>
    <mergeCell ref="M75:O75"/>
    <mergeCell ref="N9:P9"/>
    <mergeCell ref="C62:Q69"/>
    <mergeCell ref="F71:J71"/>
    <mergeCell ref="F72:J72"/>
    <mergeCell ref="F73:J73"/>
    <mergeCell ref="M71:O71"/>
    <mergeCell ref="C11:K11"/>
    <mergeCell ref="D13:J13"/>
    <mergeCell ref="N13:O13"/>
    <mergeCell ref="C15:D15"/>
    <mergeCell ref="N11:O11"/>
  </mergeCells>
  <pageMargins left="0.7" right="0.7" top="0.75" bottom="0.75" header="0.3" footer="0.3"/>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000"/>
  <sheetViews>
    <sheetView workbookViewId="0"/>
  </sheetViews>
  <sheetFormatPr baseColWidth="10" defaultColWidth="8.83203125" defaultRowHeight="15" x14ac:dyDescent="0.2"/>
  <cols>
    <col min="1" max="1" width="10" customWidth="1"/>
    <col min="2" max="2" width="5" customWidth="1"/>
    <col min="3" max="3" width="12" customWidth="1"/>
    <col min="4" max="4" width="25" customWidth="1"/>
    <col min="5" max="5" width="10" customWidth="1"/>
    <col min="6" max="7" width="8" customWidth="1"/>
    <col min="8" max="8" width="5" customWidth="1"/>
    <col min="9" max="9" width="12" customWidth="1"/>
    <col min="10" max="10" width="30" customWidth="1"/>
    <col min="11" max="13" width="10" customWidth="1"/>
    <col min="14" max="14" width="8" customWidth="1"/>
  </cols>
  <sheetData>
    <row r="1" spans="1:52" x14ac:dyDescent="0.2">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c r="AZ1" s="34"/>
    </row>
    <row r="2" spans="1:52" x14ac:dyDescent="0.2">
      <c r="A2" s="34"/>
      <c r="B2" s="36"/>
      <c r="C2" s="4"/>
      <c r="D2" s="4"/>
      <c r="E2" s="4"/>
      <c r="F2" s="16"/>
      <c r="G2" s="34"/>
      <c r="H2" s="36"/>
      <c r="I2" s="4"/>
      <c r="J2" s="4"/>
      <c r="K2" s="4"/>
      <c r="L2" s="4"/>
      <c r="M2" s="4"/>
      <c r="N2" s="16"/>
      <c r="O2" s="34"/>
      <c r="P2" s="34"/>
      <c r="Q2" s="34"/>
      <c r="R2" s="34"/>
      <c r="S2" s="34"/>
      <c r="T2" s="34"/>
      <c r="U2" s="34"/>
      <c r="V2" s="34"/>
      <c r="W2" s="34"/>
      <c r="X2" s="34"/>
      <c r="Y2" s="34"/>
      <c r="Z2" s="34"/>
      <c r="AA2" s="34"/>
      <c r="AB2" s="34"/>
      <c r="AC2" s="34"/>
      <c r="AD2" s="34"/>
      <c r="AE2" s="34"/>
      <c r="AF2" s="34"/>
      <c r="AG2" s="34"/>
      <c r="AH2" s="34"/>
      <c r="AI2" s="34"/>
      <c r="AJ2" s="34"/>
      <c r="AK2" s="34"/>
      <c r="AL2" s="34"/>
      <c r="AM2" s="34"/>
      <c r="AN2" s="34"/>
      <c r="AO2" s="34"/>
      <c r="AP2" s="34"/>
      <c r="AQ2" s="34"/>
      <c r="AR2" s="34"/>
      <c r="AS2" s="34"/>
      <c r="AT2" s="34"/>
      <c r="AU2" s="34"/>
      <c r="AV2" s="34"/>
      <c r="AW2" s="34"/>
      <c r="AX2" s="34"/>
      <c r="AY2" s="34"/>
      <c r="AZ2" s="34"/>
    </row>
    <row r="3" spans="1:52" x14ac:dyDescent="0.2">
      <c r="A3" s="34"/>
      <c r="B3" s="26"/>
      <c r="C3" s="8" t="s">
        <v>243</v>
      </c>
      <c r="D3" s="62" t="s">
        <v>244</v>
      </c>
      <c r="E3" s="63"/>
      <c r="F3" s="17"/>
      <c r="G3" s="34"/>
      <c r="H3" s="26"/>
      <c r="I3" s="8" t="s">
        <v>245</v>
      </c>
      <c r="J3" s="64" t="s">
        <v>246</v>
      </c>
      <c r="K3" s="65"/>
      <c r="L3" s="65"/>
      <c r="M3" s="65"/>
      <c r="N3" s="17"/>
      <c r="O3" s="34"/>
      <c r="P3" s="34"/>
      <c r="Q3" s="34"/>
      <c r="R3" s="34"/>
      <c r="S3" s="34"/>
      <c r="T3" s="34"/>
      <c r="U3" s="34"/>
      <c r="V3" s="34"/>
      <c r="W3" s="34"/>
      <c r="X3" s="34"/>
      <c r="Y3" s="34"/>
      <c r="Z3" s="34"/>
      <c r="AA3" s="34"/>
      <c r="AB3" s="34"/>
      <c r="AC3" s="34"/>
      <c r="AD3" s="34"/>
      <c r="AE3" s="34"/>
      <c r="AF3" s="34"/>
      <c r="AG3" s="34"/>
      <c r="AH3" s="34"/>
      <c r="AI3" s="34"/>
      <c r="AJ3" s="34"/>
      <c r="AK3" s="34"/>
      <c r="AL3" s="34"/>
      <c r="AM3" s="34"/>
      <c r="AN3" s="34"/>
      <c r="AO3" s="34"/>
      <c r="AP3" s="34"/>
      <c r="AQ3" s="34"/>
      <c r="AR3" s="34"/>
      <c r="AS3" s="34"/>
      <c r="AT3" s="34"/>
      <c r="AU3" s="34"/>
      <c r="AV3" s="34"/>
      <c r="AW3" s="34"/>
      <c r="AX3" s="34"/>
      <c r="AY3" s="34"/>
      <c r="AZ3" s="34"/>
    </row>
    <row r="4" spans="1:52" x14ac:dyDescent="0.2">
      <c r="A4" s="34"/>
      <c r="B4" s="26"/>
      <c r="C4" s="5"/>
      <c r="D4" s="63"/>
      <c r="E4" s="63"/>
      <c r="F4" s="17"/>
      <c r="G4" s="34"/>
      <c r="H4" s="26"/>
      <c r="I4" s="5"/>
      <c r="J4" s="5"/>
      <c r="K4" s="5"/>
      <c r="L4" s="5"/>
      <c r="M4" s="5"/>
      <c r="N4" s="17"/>
      <c r="O4" s="34"/>
      <c r="P4" s="34"/>
      <c r="Q4" s="34"/>
      <c r="R4" s="34"/>
      <c r="S4" s="34"/>
      <c r="T4" s="34"/>
      <c r="U4" s="34"/>
      <c r="V4" s="34"/>
      <c r="W4" s="34"/>
      <c r="X4" s="34"/>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c r="AZ4" s="34"/>
    </row>
    <row r="5" spans="1:52" x14ac:dyDescent="0.2">
      <c r="A5" s="34"/>
      <c r="B5" s="26"/>
      <c r="C5" s="5"/>
      <c r="D5" s="63"/>
      <c r="E5" s="63"/>
      <c r="F5" s="17"/>
      <c r="G5" s="34"/>
      <c r="H5" s="26"/>
      <c r="I5" s="8" t="s">
        <v>247</v>
      </c>
      <c r="J5" s="62" t="s">
        <v>248</v>
      </c>
      <c r="K5" s="65"/>
      <c r="L5" s="65"/>
      <c r="M5" s="65"/>
      <c r="N5" s="17"/>
      <c r="O5" s="34"/>
      <c r="P5" s="34"/>
      <c r="Q5" s="34"/>
      <c r="R5" s="34"/>
      <c r="S5" s="34"/>
      <c r="T5" s="34"/>
      <c r="U5" s="34"/>
      <c r="V5" s="34"/>
      <c r="W5" s="34"/>
      <c r="X5" s="34"/>
      <c r="Y5" s="34"/>
      <c r="Z5" s="34"/>
      <c r="AA5" s="34"/>
      <c r="AB5" s="34"/>
      <c r="AC5" s="34"/>
      <c r="AD5" s="34"/>
      <c r="AE5" s="34"/>
      <c r="AF5" s="34"/>
      <c r="AG5" s="34"/>
      <c r="AH5" s="34"/>
      <c r="AI5" s="34"/>
      <c r="AJ5" s="34"/>
      <c r="AK5" s="34"/>
      <c r="AL5" s="34"/>
      <c r="AM5" s="34"/>
      <c r="AN5" s="34"/>
      <c r="AO5" s="34"/>
      <c r="AP5" s="34"/>
      <c r="AQ5" s="34"/>
      <c r="AR5" s="34"/>
      <c r="AS5" s="34"/>
      <c r="AT5" s="34"/>
      <c r="AU5" s="34"/>
      <c r="AV5" s="34"/>
      <c r="AW5" s="34"/>
      <c r="AX5" s="34"/>
      <c r="AY5" s="34"/>
      <c r="AZ5" s="34"/>
    </row>
    <row r="6" spans="1:52" x14ac:dyDescent="0.2">
      <c r="A6" s="34"/>
      <c r="B6" s="26"/>
      <c r="C6" s="5"/>
      <c r="D6" s="63"/>
      <c r="E6" s="63"/>
      <c r="F6" s="17"/>
      <c r="G6" s="34"/>
      <c r="H6" s="26"/>
      <c r="I6" s="5"/>
      <c r="J6" s="65"/>
      <c r="K6" s="65"/>
      <c r="L6" s="65"/>
      <c r="M6" s="65"/>
      <c r="N6" s="17"/>
      <c r="O6" s="34"/>
      <c r="P6" s="34"/>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4"/>
      <c r="AV6" s="34"/>
      <c r="AW6" s="34"/>
      <c r="AX6" s="34"/>
      <c r="AY6" s="34"/>
      <c r="AZ6" s="34"/>
    </row>
    <row r="7" spans="1:52" x14ac:dyDescent="0.2">
      <c r="A7" s="34"/>
      <c r="B7" s="26"/>
      <c r="C7" s="5"/>
      <c r="D7" s="5"/>
      <c r="E7" s="5"/>
      <c r="F7" s="17"/>
      <c r="G7" s="34"/>
      <c r="H7" s="26"/>
      <c r="I7" s="5"/>
      <c r="J7" s="65"/>
      <c r="K7" s="65"/>
      <c r="L7" s="65"/>
      <c r="M7" s="65"/>
      <c r="N7" s="17"/>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row>
    <row r="8" spans="1:52" x14ac:dyDescent="0.2">
      <c r="A8" s="34"/>
      <c r="B8" s="26"/>
      <c r="C8" s="8" t="s">
        <v>249</v>
      </c>
      <c r="D8" s="62" t="s">
        <v>250</v>
      </c>
      <c r="E8" s="63"/>
      <c r="F8" s="17"/>
      <c r="G8" s="34"/>
      <c r="H8" s="26"/>
      <c r="I8" s="5"/>
      <c r="J8" s="5"/>
      <c r="K8" s="5"/>
      <c r="L8" s="5"/>
      <c r="M8" s="5"/>
      <c r="N8" s="17"/>
      <c r="O8" s="34"/>
      <c r="P8" s="34"/>
      <c r="Q8" s="34"/>
      <c r="R8" s="34"/>
      <c r="S8" s="34"/>
      <c r="T8" s="34"/>
      <c r="U8" s="34"/>
      <c r="V8" s="34"/>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c r="AW8" s="34"/>
      <c r="AX8" s="34"/>
      <c r="AY8" s="34"/>
      <c r="AZ8" s="34"/>
    </row>
    <row r="9" spans="1:52" x14ac:dyDescent="0.2">
      <c r="A9" s="34"/>
      <c r="B9" s="26"/>
      <c r="C9" s="5"/>
      <c r="D9" s="63"/>
      <c r="E9" s="63"/>
      <c r="F9" s="17"/>
      <c r="G9" s="34"/>
      <c r="H9" s="26"/>
      <c r="I9" s="8" t="s">
        <v>251</v>
      </c>
      <c r="J9" s="62" t="s">
        <v>252</v>
      </c>
      <c r="K9" s="65"/>
      <c r="L9" s="65"/>
      <c r="M9" s="65"/>
      <c r="N9" s="17"/>
      <c r="O9" s="34"/>
      <c r="P9" s="34"/>
      <c r="Q9" s="34"/>
      <c r="R9" s="34"/>
      <c r="S9" s="34"/>
      <c r="T9" s="34"/>
      <c r="U9" s="34"/>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c r="AW9" s="34"/>
      <c r="AX9" s="34"/>
      <c r="AY9" s="34"/>
      <c r="AZ9" s="34"/>
    </row>
    <row r="10" spans="1:52" x14ac:dyDescent="0.2">
      <c r="A10" s="34"/>
      <c r="B10" s="26"/>
      <c r="C10" s="5"/>
      <c r="D10" s="63"/>
      <c r="E10" s="63"/>
      <c r="F10" s="17"/>
      <c r="G10" s="34"/>
      <c r="H10" s="26"/>
      <c r="I10" s="5"/>
      <c r="J10" s="65"/>
      <c r="K10" s="65"/>
      <c r="L10" s="65"/>
      <c r="M10" s="65"/>
      <c r="N10" s="17"/>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row>
    <row r="11" spans="1:52" x14ac:dyDescent="0.2">
      <c r="A11" s="34"/>
      <c r="B11" s="26"/>
      <c r="C11" s="5"/>
      <c r="D11" s="63"/>
      <c r="E11" s="63"/>
      <c r="F11" s="17"/>
      <c r="G11" s="34"/>
      <c r="H11" s="26"/>
      <c r="I11" s="5"/>
      <c r="J11" s="65"/>
      <c r="K11" s="65"/>
      <c r="L11" s="65"/>
      <c r="M11" s="65"/>
      <c r="N11" s="17"/>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row>
    <row r="12" spans="1:52" x14ac:dyDescent="0.2">
      <c r="A12" s="34"/>
      <c r="B12" s="26"/>
      <c r="C12" s="5"/>
      <c r="D12" s="63"/>
      <c r="E12" s="63"/>
      <c r="F12" s="17"/>
      <c r="G12" s="34"/>
      <c r="H12" s="26"/>
      <c r="I12" s="5"/>
      <c r="J12" s="5"/>
      <c r="K12" s="5"/>
      <c r="L12" s="5"/>
      <c r="M12" s="5"/>
      <c r="N12" s="17"/>
      <c r="O12" s="34"/>
      <c r="P12" s="34"/>
      <c r="Q12" s="34"/>
      <c r="R12" s="34"/>
      <c r="S12" s="34"/>
      <c r="T12" s="34"/>
      <c r="U12" s="34"/>
      <c r="V12" s="34"/>
      <c r="W12" s="34"/>
      <c r="X12" s="34"/>
      <c r="Y12" s="34"/>
      <c r="Z12" s="34"/>
      <c r="AA12" s="34"/>
      <c r="AB12" s="34"/>
      <c r="AC12" s="34"/>
      <c r="AD12" s="34"/>
      <c r="AE12" s="34"/>
      <c r="AF12" s="34"/>
      <c r="AG12" s="34"/>
      <c r="AH12" s="34"/>
      <c r="AI12" s="34"/>
      <c r="AJ12" s="34"/>
      <c r="AK12" s="34"/>
      <c r="AL12" s="34"/>
      <c r="AM12" s="34"/>
      <c r="AN12" s="34"/>
      <c r="AO12" s="34"/>
      <c r="AP12" s="34"/>
      <c r="AQ12" s="34"/>
      <c r="AR12" s="34"/>
      <c r="AS12" s="34"/>
      <c r="AT12" s="34"/>
      <c r="AU12" s="34"/>
      <c r="AV12" s="34"/>
      <c r="AW12" s="34"/>
      <c r="AX12" s="34"/>
      <c r="AY12" s="34"/>
      <c r="AZ12" s="34"/>
    </row>
    <row r="13" spans="1:52" x14ac:dyDescent="0.2">
      <c r="A13" s="34"/>
      <c r="B13" s="26"/>
      <c r="C13" s="5"/>
      <c r="D13" s="63"/>
      <c r="E13" s="63"/>
      <c r="F13" s="17"/>
      <c r="G13" s="34"/>
      <c r="H13" s="26"/>
      <c r="I13" s="8" t="s">
        <v>253</v>
      </c>
      <c r="J13" s="62" t="s">
        <v>254</v>
      </c>
      <c r="K13" s="65"/>
      <c r="L13" s="65"/>
      <c r="M13" s="65"/>
      <c r="N13" s="17"/>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row>
    <row r="14" spans="1:52" x14ac:dyDescent="0.2">
      <c r="A14" s="34"/>
      <c r="B14" s="26"/>
      <c r="C14" s="5"/>
      <c r="D14" s="5"/>
      <c r="E14" s="5"/>
      <c r="F14" s="17"/>
      <c r="G14" s="34"/>
      <c r="H14" s="26"/>
      <c r="I14" s="5"/>
      <c r="J14" s="65"/>
      <c r="K14" s="65"/>
      <c r="L14" s="65"/>
      <c r="M14" s="65"/>
      <c r="N14" s="17"/>
      <c r="O14" s="34"/>
      <c r="P14" s="34"/>
      <c r="Q14" s="34"/>
      <c r="R14" s="34"/>
      <c r="S14" s="34"/>
      <c r="T14" s="34"/>
      <c r="U14" s="34"/>
      <c r="V14" s="34"/>
      <c r="W14" s="34"/>
      <c r="X14" s="34"/>
      <c r="Y14" s="34"/>
      <c r="Z14" s="34"/>
      <c r="AA14" s="34"/>
      <c r="AB14" s="34"/>
      <c r="AC14" s="34"/>
      <c r="AD14" s="34"/>
      <c r="AE14" s="34"/>
      <c r="AF14" s="34"/>
      <c r="AG14" s="34"/>
      <c r="AH14" s="34"/>
      <c r="AI14" s="34"/>
      <c r="AJ14" s="34"/>
      <c r="AK14" s="34"/>
      <c r="AL14" s="34"/>
      <c r="AM14" s="34"/>
      <c r="AN14" s="34"/>
      <c r="AO14" s="34"/>
      <c r="AP14" s="34"/>
      <c r="AQ14" s="34"/>
      <c r="AR14" s="34"/>
      <c r="AS14" s="34"/>
      <c r="AT14" s="34"/>
      <c r="AU14" s="34"/>
      <c r="AV14" s="34"/>
      <c r="AW14" s="34"/>
      <c r="AX14" s="34"/>
      <c r="AY14" s="34"/>
      <c r="AZ14" s="34"/>
    </row>
    <row r="15" spans="1:52" x14ac:dyDescent="0.2">
      <c r="A15" s="34"/>
      <c r="B15" s="26"/>
      <c r="C15" s="5"/>
      <c r="D15" s="5"/>
      <c r="E15" s="5"/>
      <c r="F15" s="17"/>
      <c r="G15" s="34"/>
      <c r="H15" s="26"/>
      <c r="I15" s="5"/>
      <c r="J15" s="5"/>
      <c r="K15" s="5"/>
      <c r="L15" s="5"/>
      <c r="M15" s="5"/>
      <c r="N15" s="17"/>
      <c r="O15" s="34"/>
      <c r="P15" s="34"/>
      <c r="Q15" s="34"/>
      <c r="R15" s="34"/>
      <c r="S15" s="34"/>
      <c r="T15" s="34"/>
      <c r="U15" s="34"/>
      <c r="V15" s="34"/>
      <c r="W15" s="34"/>
      <c r="X15" s="34"/>
      <c r="Y15" s="34"/>
      <c r="Z15" s="34"/>
      <c r="AA15" s="34"/>
      <c r="AB15" s="34"/>
      <c r="AC15" s="34"/>
      <c r="AD15" s="34"/>
      <c r="AE15" s="34"/>
      <c r="AF15" s="34"/>
      <c r="AG15" s="34"/>
      <c r="AH15" s="34"/>
      <c r="AI15" s="34"/>
      <c r="AJ15" s="34"/>
      <c r="AK15" s="34"/>
      <c r="AL15" s="34"/>
      <c r="AM15" s="34"/>
      <c r="AN15" s="34"/>
      <c r="AO15" s="34"/>
      <c r="AP15" s="34"/>
      <c r="AQ15" s="34"/>
      <c r="AR15" s="34"/>
      <c r="AS15" s="34"/>
      <c r="AT15" s="34"/>
      <c r="AU15" s="34"/>
      <c r="AV15" s="34"/>
      <c r="AW15" s="34"/>
      <c r="AX15" s="34"/>
      <c r="AY15" s="34"/>
      <c r="AZ15" s="34"/>
    </row>
    <row r="16" spans="1:52" x14ac:dyDescent="0.2">
      <c r="A16" s="34"/>
      <c r="B16" s="26"/>
      <c r="C16" s="5"/>
      <c r="D16" s="5"/>
      <c r="E16" s="5"/>
      <c r="F16" s="17"/>
      <c r="G16" s="34"/>
      <c r="H16" s="26"/>
      <c r="I16" s="5"/>
      <c r="J16" s="5"/>
      <c r="K16" s="5"/>
      <c r="L16" s="5"/>
      <c r="M16" s="5"/>
      <c r="N16" s="17"/>
      <c r="O16" s="34"/>
      <c r="P16" s="34"/>
      <c r="Q16" s="34"/>
      <c r="R16" s="34"/>
      <c r="S16" s="34"/>
      <c r="T16" s="34"/>
      <c r="U16" s="34"/>
      <c r="V16" s="34"/>
      <c r="W16" s="34"/>
      <c r="X16" s="34"/>
      <c r="Y16" s="34"/>
      <c r="Z16" s="34"/>
      <c r="AA16" s="34"/>
      <c r="AB16" s="34"/>
      <c r="AC16" s="34"/>
      <c r="AD16" s="34"/>
      <c r="AE16" s="34"/>
      <c r="AF16" s="34"/>
      <c r="AG16" s="34"/>
      <c r="AH16" s="34"/>
      <c r="AI16" s="34"/>
      <c r="AJ16" s="34"/>
      <c r="AK16" s="34"/>
      <c r="AL16" s="34"/>
      <c r="AM16" s="34"/>
      <c r="AN16" s="34"/>
      <c r="AO16" s="34"/>
      <c r="AP16" s="34"/>
      <c r="AQ16" s="34"/>
      <c r="AR16" s="34"/>
      <c r="AS16" s="34"/>
      <c r="AT16" s="34"/>
      <c r="AU16" s="34"/>
      <c r="AV16" s="34"/>
      <c r="AW16" s="34"/>
      <c r="AX16" s="34"/>
      <c r="AY16" s="34"/>
      <c r="AZ16" s="34"/>
    </row>
    <row r="17" spans="1:52" x14ac:dyDescent="0.2">
      <c r="A17" s="34"/>
      <c r="B17" s="26"/>
      <c r="C17" s="35" t="s">
        <v>33</v>
      </c>
      <c r="D17" s="35" t="s">
        <v>34</v>
      </c>
      <c r="E17" s="35" t="str">
        <f>"#Marks: " &amp; COUNT(E18:E418)</f>
        <v>#Marks: 0</v>
      </c>
      <c r="F17" s="17"/>
      <c r="G17" s="34"/>
      <c r="H17" s="26"/>
      <c r="I17" s="35" t="s">
        <v>33</v>
      </c>
      <c r="J17" s="35" t="s">
        <v>34</v>
      </c>
      <c r="K17" s="35" t="str">
        <f>"#Marks: " &amp; COUNTIF(K18:K418, "&gt;0")</f>
        <v>#Marks: 0</v>
      </c>
      <c r="L17" s="5"/>
      <c r="M17" s="35" t="str">
        <f>"#Marks: " &amp; COUNT(M18:M418)</f>
        <v>#Marks: 0</v>
      </c>
      <c r="N17" s="17"/>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34"/>
      <c r="AO17" s="34"/>
      <c r="AP17" s="34"/>
      <c r="AQ17" s="34"/>
      <c r="AR17" s="34"/>
      <c r="AS17" s="34"/>
      <c r="AT17" s="34"/>
      <c r="AU17" s="34"/>
      <c r="AV17" s="34"/>
      <c r="AW17" s="34"/>
      <c r="AX17" s="34"/>
      <c r="AY17" s="34"/>
      <c r="AZ17" s="34"/>
    </row>
    <row r="18" spans="1:52" x14ac:dyDescent="0.2">
      <c r="A18" s="34"/>
      <c r="B18" s="37" t="str">
        <f t="shared" ref="B18:B81" si="0">IF(LEFT(C18, 2)="20", "W" &amp; C18, C18)</f>
        <v xml:space="preserve"> </v>
      </c>
      <c r="C18" s="39" t="s">
        <v>255</v>
      </c>
      <c r="D18" s="39" t="s">
        <v>255</v>
      </c>
      <c r="E18" s="39" t="s">
        <v>255</v>
      </c>
      <c r="F18" s="38" t="str">
        <f t="shared" ref="F18:F81" si="1">IF(C18= " ", "", IFERROR(VLOOKUP(B18, ExtMarksRHS, 4, FALSE), "X"))</f>
        <v/>
      </c>
      <c r="G18" s="34"/>
      <c r="H18" s="26"/>
      <c r="I18" s="5" t="s">
        <v>42</v>
      </c>
      <c r="J18" s="5" t="s">
        <v>43</v>
      </c>
      <c r="K18" s="40">
        <f t="shared" ref="K18:K51" si="2">IFERROR(VLOOKUP(I18, ExtMarks, 4, FALSE), 0)</f>
        <v>0</v>
      </c>
      <c r="L18" s="5"/>
      <c r="M18" s="41"/>
      <c r="N18" s="17"/>
      <c r="O18" s="34"/>
      <c r="P18" s="34"/>
      <c r="Q18" s="34"/>
      <c r="R18" s="34"/>
      <c r="S18" s="34"/>
      <c r="T18" s="34"/>
      <c r="U18" s="34"/>
      <c r="V18" s="34"/>
      <c r="W18" s="34"/>
      <c r="X18" s="34"/>
      <c r="Y18" s="34"/>
      <c r="Z18" s="34"/>
      <c r="AA18" s="34"/>
      <c r="AB18" s="34"/>
      <c r="AC18" s="34"/>
      <c r="AD18" s="34"/>
      <c r="AE18" s="34"/>
      <c r="AF18" s="34"/>
      <c r="AG18" s="34"/>
      <c r="AH18" s="34"/>
      <c r="AI18" s="34"/>
      <c r="AJ18" s="34"/>
      <c r="AK18" s="34"/>
      <c r="AL18" s="34"/>
      <c r="AM18" s="34"/>
      <c r="AN18" s="34"/>
      <c r="AO18" s="34"/>
      <c r="AP18" s="34"/>
      <c r="AQ18" s="34"/>
      <c r="AR18" s="34"/>
      <c r="AS18" s="34"/>
      <c r="AT18" s="34"/>
      <c r="AU18" s="34"/>
      <c r="AV18" s="34"/>
      <c r="AW18" s="34"/>
      <c r="AX18" s="34"/>
      <c r="AY18" s="34"/>
      <c r="AZ18" s="34"/>
    </row>
    <row r="19" spans="1:52" x14ac:dyDescent="0.2">
      <c r="A19" s="34"/>
      <c r="B19" s="37" t="str">
        <f t="shared" si="0"/>
        <v xml:space="preserve"> </v>
      </c>
      <c r="C19" s="39" t="s">
        <v>255</v>
      </c>
      <c r="D19" s="39" t="s">
        <v>255</v>
      </c>
      <c r="E19" s="39" t="s">
        <v>255</v>
      </c>
      <c r="F19" s="38" t="str">
        <f t="shared" si="1"/>
        <v/>
      </c>
      <c r="G19" s="34"/>
      <c r="H19" s="26"/>
      <c r="I19" s="5" t="s">
        <v>47</v>
      </c>
      <c r="J19" s="5" t="s">
        <v>48</v>
      </c>
      <c r="K19" s="40">
        <f t="shared" si="2"/>
        <v>0</v>
      </c>
      <c r="L19" s="5"/>
      <c r="M19" s="41"/>
      <c r="N19" s="17"/>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row>
    <row r="20" spans="1:52" x14ac:dyDescent="0.2">
      <c r="A20" s="34"/>
      <c r="B20" s="37" t="str">
        <f t="shared" si="0"/>
        <v xml:space="preserve"> </v>
      </c>
      <c r="C20" s="39" t="s">
        <v>255</v>
      </c>
      <c r="D20" s="39" t="s">
        <v>255</v>
      </c>
      <c r="E20" s="39" t="s">
        <v>255</v>
      </c>
      <c r="F20" s="38" t="str">
        <f t="shared" si="1"/>
        <v/>
      </c>
      <c r="G20" s="34"/>
      <c r="H20" s="26"/>
      <c r="I20" s="5" t="s">
        <v>50</v>
      </c>
      <c r="J20" s="5" t="s">
        <v>51</v>
      </c>
      <c r="K20" s="40">
        <f t="shared" si="2"/>
        <v>0</v>
      </c>
      <c r="L20" s="5"/>
      <c r="M20" s="41"/>
      <c r="N20" s="17"/>
      <c r="O20" s="34"/>
      <c r="P20" s="34"/>
      <c r="Q20" s="34"/>
      <c r="R20" s="34"/>
      <c r="S20" s="34"/>
      <c r="T20" s="34"/>
      <c r="U20" s="34"/>
      <c r="V20" s="34"/>
      <c r="W20" s="34"/>
      <c r="X20" s="34"/>
      <c r="Y20" s="34"/>
      <c r="Z20" s="34"/>
      <c r="AA20" s="34"/>
      <c r="AB20" s="34"/>
      <c r="AC20" s="34"/>
      <c r="AD20" s="34"/>
      <c r="AE20" s="34"/>
      <c r="AF20" s="34"/>
      <c r="AG20" s="34"/>
      <c r="AH20" s="34"/>
      <c r="AI20" s="34"/>
      <c r="AJ20" s="34"/>
      <c r="AK20" s="34"/>
      <c r="AL20" s="34"/>
      <c r="AM20" s="34"/>
      <c r="AN20" s="34"/>
      <c r="AO20" s="34"/>
      <c r="AP20" s="34"/>
      <c r="AQ20" s="34"/>
      <c r="AR20" s="34"/>
      <c r="AS20" s="34"/>
      <c r="AT20" s="34"/>
      <c r="AU20" s="34"/>
      <c r="AV20" s="34"/>
      <c r="AW20" s="34"/>
      <c r="AX20" s="34"/>
      <c r="AY20" s="34"/>
      <c r="AZ20" s="34"/>
    </row>
    <row r="21" spans="1:52" x14ac:dyDescent="0.2">
      <c r="A21" s="34"/>
      <c r="B21" s="37" t="str">
        <f t="shared" si="0"/>
        <v xml:space="preserve"> </v>
      </c>
      <c r="C21" s="39" t="s">
        <v>255</v>
      </c>
      <c r="D21" s="39" t="s">
        <v>255</v>
      </c>
      <c r="E21" s="39" t="s">
        <v>255</v>
      </c>
      <c r="F21" s="38" t="str">
        <f t="shared" si="1"/>
        <v/>
      </c>
      <c r="G21" s="34"/>
      <c r="H21" s="26"/>
      <c r="I21" s="5" t="s">
        <v>53</v>
      </c>
      <c r="J21" s="5" t="s">
        <v>54</v>
      </c>
      <c r="K21" s="40">
        <f t="shared" si="2"/>
        <v>0</v>
      </c>
      <c r="L21" s="5"/>
      <c r="M21" s="41"/>
      <c r="N21" s="17"/>
      <c r="O21" s="34"/>
      <c r="P21" s="34"/>
      <c r="Q21" s="34"/>
      <c r="R21" s="34"/>
      <c r="S21" s="34"/>
      <c r="T21" s="34"/>
      <c r="U21" s="34"/>
      <c r="V21" s="34"/>
      <c r="W21" s="34"/>
      <c r="X21" s="34"/>
      <c r="Y21" s="34"/>
      <c r="Z21" s="34"/>
      <c r="AA21" s="34"/>
      <c r="AB21" s="34"/>
      <c r="AC21" s="34"/>
      <c r="AD21" s="34"/>
      <c r="AE21" s="34"/>
      <c r="AF21" s="34"/>
      <c r="AG21" s="34"/>
      <c r="AH21" s="34"/>
      <c r="AI21" s="34"/>
      <c r="AJ21" s="34"/>
      <c r="AK21" s="34"/>
      <c r="AL21" s="34"/>
      <c r="AM21" s="34"/>
      <c r="AN21" s="34"/>
      <c r="AO21" s="34"/>
      <c r="AP21" s="34"/>
      <c r="AQ21" s="34"/>
      <c r="AR21" s="34"/>
      <c r="AS21" s="34"/>
      <c r="AT21" s="34"/>
      <c r="AU21" s="34"/>
      <c r="AV21" s="34"/>
      <c r="AW21" s="34"/>
      <c r="AX21" s="34"/>
      <c r="AY21" s="34"/>
      <c r="AZ21" s="34"/>
    </row>
    <row r="22" spans="1:52" x14ac:dyDescent="0.2">
      <c r="A22" s="34"/>
      <c r="B22" s="37" t="str">
        <f t="shared" si="0"/>
        <v xml:space="preserve"> </v>
      </c>
      <c r="C22" s="39" t="s">
        <v>255</v>
      </c>
      <c r="D22" s="39" t="s">
        <v>255</v>
      </c>
      <c r="E22" s="39" t="s">
        <v>255</v>
      </c>
      <c r="F22" s="38" t="str">
        <f t="shared" si="1"/>
        <v/>
      </c>
      <c r="G22" s="34"/>
      <c r="H22" s="26"/>
      <c r="I22" s="5" t="s">
        <v>56</v>
      </c>
      <c r="J22" s="5" t="s">
        <v>57</v>
      </c>
      <c r="K22" s="40">
        <f t="shared" si="2"/>
        <v>0</v>
      </c>
      <c r="L22" s="5"/>
      <c r="M22" s="41"/>
      <c r="N22" s="17"/>
      <c r="O22" s="34"/>
      <c r="P22" s="34"/>
      <c r="Q22" s="34"/>
      <c r="R22" s="34"/>
      <c r="S22" s="34"/>
      <c r="T22" s="34"/>
      <c r="U22" s="34"/>
      <c r="V22" s="34"/>
      <c r="W22" s="34"/>
      <c r="X22" s="34"/>
      <c r="Y22" s="34"/>
      <c r="Z22" s="34"/>
      <c r="AA22" s="34"/>
      <c r="AB22" s="34"/>
      <c r="AC22" s="34"/>
      <c r="AD22" s="34"/>
      <c r="AE22" s="34"/>
      <c r="AF22" s="34"/>
      <c r="AG22" s="34"/>
      <c r="AH22" s="34"/>
      <c r="AI22" s="34"/>
      <c r="AJ22" s="34"/>
      <c r="AK22" s="34"/>
      <c r="AL22" s="34"/>
      <c r="AM22" s="34"/>
      <c r="AN22" s="34"/>
      <c r="AO22" s="34"/>
      <c r="AP22" s="34"/>
      <c r="AQ22" s="34"/>
      <c r="AR22" s="34"/>
      <c r="AS22" s="34"/>
      <c r="AT22" s="34"/>
      <c r="AU22" s="34"/>
      <c r="AV22" s="34"/>
      <c r="AW22" s="34"/>
      <c r="AX22" s="34"/>
      <c r="AY22" s="34"/>
      <c r="AZ22" s="34"/>
    </row>
    <row r="23" spans="1:52" x14ac:dyDescent="0.2">
      <c r="A23" s="34"/>
      <c r="B23" s="37" t="str">
        <f t="shared" si="0"/>
        <v xml:space="preserve"> </v>
      </c>
      <c r="C23" s="39" t="s">
        <v>255</v>
      </c>
      <c r="D23" s="39" t="s">
        <v>255</v>
      </c>
      <c r="E23" s="39" t="s">
        <v>255</v>
      </c>
      <c r="F23" s="38" t="str">
        <f t="shared" si="1"/>
        <v/>
      </c>
      <c r="G23" s="34"/>
      <c r="H23" s="26"/>
      <c r="I23" s="5" t="s">
        <v>59</v>
      </c>
      <c r="J23" s="5" t="s">
        <v>60</v>
      </c>
      <c r="K23" s="40">
        <f t="shared" si="2"/>
        <v>0</v>
      </c>
      <c r="L23" s="5"/>
      <c r="M23" s="41"/>
      <c r="N23" s="17"/>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P23" s="34"/>
      <c r="AQ23" s="34"/>
      <c r="AR23" s="34"/>
      <c r="AS23" s="34"/>
      <c r="AT23" s="34"/>
      <c r="AU23" s="34"/>
      <c r="AV23" s="34"/>
      <c r="AW23" s="34"/>
      <c r="AX23" s="34"/>
      <c r="AY23" s="34"/>
      <c r="AZ23" s="34"/>
    </row>
    <row r="24" spans="1:52" x14ac:dyDescent="0.2">
      <c r="A24" s="34"/>
      <c r="B24" s="37" t="str">
        <f t="shared" si="0"/>
        <v xml:space="preserve"> </v>
      </c>
      <c r="C24" s="39" t="s">
        <v>255</v>
      </c>
      <c r="D24" s="39" t="s">
        <v>255</v>
      </c>
      <c r="E24" s="39" t="s">
        <v>255</v>
      </c>
      <c r="F24" s="38" t="str">
        <f t="shared" si="1"/>
        <v/>
      </c>
      <c r="G24" s="34"/>
      <c r="H24" s="26"/>
      <c r="I24" s="5" t="s">
        <v>62</v>
      </c>
      <c r="J24" s="5" t="s">
        <v>63</v>
      </c>
      <c r="K24" s="40">
        <f t="shared" si="2"/>
        <v>0</v>
      </c>
      <c r="L24" s="5"/>
      <c r="M24" s="41"/>
      <c r="N24" s="17"/>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row>
    <row r="25" spans="1:52" x14ac:dyDescent="0.2">
      <c r="A25" s="34"/>
      <c r="B25" s="37" t="str">
        <f t="shared" si="0"/>
        <v xml:space="preserve"> </v>
      </c>
      <c r="C25" s="39" t="s">
        <v>255</v>
      </c>
      <c r="D25" s="39" t="s">
        <v>255</v>
      </c>
      <c r="E25" s="39" t="s">
        <v>255</v>
      </c>
      <c r="F25" s="38" t="str">
        <f t="shared" si="1"/>
        <v/>
      </c>
      <c r="G25" s="34"/>
      <c r="H25" s="26"/>
      <c r="I25" s="5" t="s">
        <v>65</v>
      </c>
      <c r="J25" s="5" t="s">
        <v>66</v>
      </c>
      <c r="K25" s="40">
        <f t="shared" si="2"/>
        <v>0</v>
      </c>
      <c r="L25" s="5"/>
      <c r="M25" s="41"/>
      <c r="N25" s="17"/>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2" x14ac:dyDescent="0.2">
      <c r="A26" s="34"/>
      <c r="B26" s="37" t="str">
        <f t="shared" si="0"/>
        <v xml:space="preserve"> </v>
      </c>
      <c r="C26" s="39" t="s">
        <v>255</v>
      </c>
      <c r="D26" s="39" t="s">
        <v>255</v>
      </c>
      <c r="E26" s="39" t="s">
        <v>255</v>
      </c>
      <c r="F26" s="38" t="str">
        <f t="shared" si="1"/>
        <v/>
      </c>
      <c r="G26" s="34"/>
      <c r="H26" s="26"/>
      <c r="I26" s="5" t="s">
        <v>68</v>
      </c>
      <c r="J26" s="5" t="s">
        <v>69</v>
      </c>
      <c r="K26" s="40">
        <f t="shared" si="2"/>
        <v>0</v>
      </c>
      <c r="L26" s="5"/>
      <c r="M26" s="41"/>
      <c r="N26" s="17"/>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row>
    <row r="27" spans="1:52" x14ac:dyDescent="0.2">
      <c r="A27" s="34"/>
      <c r="B27" s="37" t="str">
        <f t="shared" si="0"/>
        <v xml:space="preserve"> </v>
      </c>
      <c r="C27" s="39" t="s">
        <v>255</v>
      </c>
      <c r="D27" s="39" t="s">
        <v>255</v>
      </c>
      <c r="E27" s="39" t="s">
        <v>255</v>
      </c>
      <c r="F27" s="38" t="str">
        <f t="shared" si="1"/>
        <v/>
      </c>
      <c r="G27" s="34"/>
      <c r="H27" s="26"/>
      <c r="I27" s="5" t="s">
        <v>71</v>
      </c>
      <c r="J27" s="5" t="s">
        <v>72</v>
      </c>
      <c r="K27" s="40">
        <f t="shared" si="2"/>
        <v>0</v>
      </c>
      <c r="L27" s="5"/>
      <c r="M27" s="41"/>
      <c r="N27" s="17"/>
      <c r="O27" s="34"/>
      <c r="P27" s="34"/>
      <c r="Q27" s="34"/>
      <c r="R27" s="34"/>
      <c r="S27" s="34"/>
      <c r="T27" s="34"/>
      <c r="U27" s="34"/>
      <c r="V27" s="34"/>
      <c r="W27" s="34"/>
      <c r="X27" s="34"/>
      <c r="Y27" s="34"/>
      <c r="Z27" s="34"/>
      <c r="AA27" s="34"/>
      <c r="AB27" s="34"/>
      <c r="AC27" s="34"/>
      <c r="AD27" s="34"/>
      <c r="AE27" s="34"/>
      <c r="AF27" s="34"/>
      <c r="AG27" s="34"/>
      <c r="AH27" s="34"/>
      <c r="AI27" s="34"/>
      <c r="AJ27" s="34"/>
      <c r="AK27" s="34"/>
      <c r="AL27" s="34"/>
      <c r="AM27" s="34"/>
      <c r="AN27" s="34"/>
      <c r="AO27" s="34"/>
      <c r="AP27" s="34"/>
      <c r="AQ27" s="34"/>
      <c r="AR27" s="34"/>
      <c r="AS27" s="34"/>
      <c r="AT27" s="34"/>
      <c r="AU27" s="34"/>
      <c r="AV27" s="34"/>
      <c r="AW27" s="34"/>
      <c r="AX27" s="34"/>
      <c r="AY27" s="34"/>
      <c r="AZ27" s="34"/>
    </row>
    <row r="28" spans="1:52" x14ac:dyDescent="0.2">
      <c r="A28" s="34"/>
      <c r="B28" s="37" t="str">
        <f t="shared" si="0"/>
        <v xml:space="preserve"> </v>
      </c>
      <c r="C28" s="39" t="s">
        <v>255</v>
      </c>
      <c r="D28" s="39" t="s">
        <v>255</v>
      </c>
      <c r="E28" s="39" t="s">
        <v>255</v>
      </c>
      <c r="F28" s="38" t="str">
        <f t="shared" si="1"/>
        <v/>
      </c>
      <c r="G28" s="34"/>
      <c r="H28" s="26"/>
      <c r="I28" s="5" t="s">
        <v>74</v>
      </c>
      <c r="J28" s="5" t="s">
        <v>75</v>
      </c>
      <c r="K28" s="40">
        <f t="shared" si="2"/>
        <v>0</v>
      </c>
      <c r="L28" s="5"/>
      <c r="M28" s="41"/>
      <c r="N28" s="17"/>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row>
    <row r="29" spans="1:52" x14ac:dyDescent="0.2">
      <c r="A29" s="34"/>
      <c r="B29" s="37" t="str">
        <f t="shared" si="0"/>
        <v xml:space="preserve"> </v>
      </c>
      <c r="C29" s="39" t="s">
        <v>255</v>
      </c>
      <c r="D29" s="39" t="s">
        <v>255</v>
      </c>
      <c r="E29" s="39" t="s">
        <v>255</v>
      </c>
      <c r="F29" s="38" t="str">
        <f t="shared" si="1"/>
        <v/>
      </c>
      <c r="G29" s="34"/>
      <c r="H29" s="26"/>
      <c r="I29" s="5" t="s">
        <v>77</v>
      </c>
      <c r="J29" s="5" t="s">
        <v>78</v>
      </c>
      <c r="K29" s="40">
        <f t="shared" si="2"/>
        <v>0</v>
      </c>
      <c r="L29" s="5"/>
      <c r="M29" s="41"/>
      <c r="N29" s="17"/>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row>
    <row r="30" spans="1:52" x14ac:dyDescent="0.2">
      <c r="A30" s="34"/>
      <c r="B30" s="37" t="str">
        <f t="shared" si="0"/>
        <v xml:space="preserve"> </v>
      </c>
      <c r="C30" s="39" t="s">
        <v>255</v>
      </c>
      <c r="D30" s="39" t="s">
        <v>255</v>
      </c>
      <c r="E30" s="39" t="s">
        <v>255</v>
      </c>
      <c r="F30" s="38" t="str">
        <f t="shared" si="1"/>
        <v/>
      </c>
      <c r="G30" s="34"/>
      <c r="H30" s="26"/>
      <c r="I30" s="5" t="s">
        <v>80</v>
      </c>
      <c r="J30" s="5" t="s">
        <v>81</v>
      </c>
      <c r="K30" s="40">
        <f t="shared" si="2"/>
        <v>0</v>
      </c>
      <c r="L30" s="5"/>
      <c r="M30" s="41"/>
      <c r="N30" s="17"/>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row>
    <row r="31" spans="1:52" x14ac:dyDescent="0.2">
      <c r="A31" s="34"/>
      <c r="B31" s="37" t="str">
        <f t="shared" si="0"/>
        <v xml:space="preserve"> </v>
      </c>
      <c r="C31" s="39" t="s">
        <v>255</v>
      </c>
      <c r="D31" s="39" t="s">
        <v>255</v>
      </c>
      <c r="E31" s="39" t="s">
        <v>255</v>
      </c>
      <c r="F31" s="38" t="str">
        <f t="shared" si="1"/>
        <v/>
      </c>
      <c r="G31" s="34"/>
      <c r="H31" s="26"/>
      <c r="I31" s="5" t="s">
        <v>83</v>
      </c>
      <c r="J31" s="5" t="s">
        <v>84</v>
      </c>
      <c r="K31" s="40">
        <f t="shared" si="2"/>
        <v>0</v>
      </c>
      <c r="L31" s="5"/>
      <c r="M31" s="41"/>
      <c r="N31" s="17"/>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row>
    <row r="32" spans="1:52" x14ac:dyDescent="0.2">
      <c r="A32" s="34"/>
      <c r="B32" s="37" t="str">
        <f t="shared" si="0"/>
        <v xml:space="preserve"> </v>
      </c>
      <c r="C32" s="39" t="s">
        <v>255</v>
      </c>
      <c r="D32" s="39" t="s">
        <v>255</v>
      </c>
      <c r="E32" s="39" t="s">
        <v>255</v>
      </c>
      <c r="F32" s="38" t="str">
        <f t="shared" si="1"/>
        <v/>
      </c>
      <c r="G32" s="34"/>
      <c r="H32" s="26"/>
      <c r="I32" s="5" t="s">
        <v>86</v>
      </c>
      <c r="J32" s="5" t="s">
        <v>87</v>
      </c>
      <c r="K32" s="40">
        <f t="shared" si="2"/>
        <v>0</v>
      </c>
      <c r="L32" s="5"/>
      <c r="M32" s="41"/>
      <c r="N32" s="17"/>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row>
    <row r="33" spans="1:52" x14ac:dyDescent="0.2">
      <c r="A33" s="34"/>
      <c r="B33" s="37" t="str">
        <f t="shared" si="0"/>
        <v xml:space="preserve"> </v>
      </c>
      <c r="C33" s="39" t="s">
        <v>255</v>
      </c>
      <c r="D33" s="39" t="s">
        <v>255</v>
      </c>
      <c r="E33" s="39" t="s">
        <v>255</v>
      </c>
      <c r="F33" s="38" t="str">
        <f t="shared" si="1"/>
        <v/>
      </c>
      <c r="G33" s="34"/>
      <c r="H33" s="26"/>
      <c r="I33" s="5" t="s">
        <v>89</v>
      </c>
      <c r="J33" s="5" t="s">
        <v>90</v>
      </c>
      <c r="K33" s="40">
        <f t="shared" si="2"/>
        <v>0</v>
      </c>
      <c r="L33" s="5"/>
      <c r="M33" s="41"/>
      <c r="N33" s="17"/>
      <c r="O33" s="34"/>
      <c r="P33" s="34"/>
      <c r="Q33" s="34"/>
      <c r="R33" s="34"/>
      <c r="S33" s="34"/>
      <c r="T33" s="34"/>
      <c r="U33" s="34"/>
      <c r="V33" s="34"/>
      <c r="W33" s="34"/>
      <c r="X33" s="34"/>
      <c r="Y33" s="34"/>
      <c r="Z33" s="34"/>
      <c r="AA33" s="34"/>
      <c r="AB33" s="34"/>
      <c r="AC33" s="34"/>
      <c r="AD33" s="34"/>
      <c r="AE33" s="34"/>
      <c r="AF33" s="34"/>
      <c r="AG33" s="34"/>
      <c r="AH33" s="34"/>
      <c r="AI33" s="34"/>
      <c r="AJ33" s="34"/>
      <c r="AK33" s="34"/>
      <c r="AL33" s="34"/>
      <c r="AM33" s="34"/>
      <c r="AN33" s="34"/>
      <c r="AO33" s="34"/>
      <c r="AP33" s="34"/>
      <c r="AQ33" s="34"/>
      <c r="AR33" s="34"/>
      <c r="AS33" s="34"/>
      <c r="AT33" s="34"/>
      <c r="AU33" s="34"/>
      <c r="AV33" s="34"/>
      <c r="AW33" s="34"/>
      <c r="AX33" s="34"/>
      <c r="AY33" s="34"/>
      <c r="AZ33" s="34"/>
    </row>
    <row r="34" spans="1:52" x14ac:dyDescent="0.2">
      <c r="A34" s="34"/>
      <c r="B34" s="37" t="str">
        <f t="shared" si="0"/>
        <v xml:space="preserve"> </v>
      </c>
      <c r="C34" s="39" t="s">
        <v>255</v>
      </c>
      <c r="D34" s="39" t="s">
        <v>255</v>
      </c>
      <c r="E34" s="39" t="s">
        <v>255</v>
      </c>
      <c r="F34" s="38" t="str">
        <f t="shared" si="1"/>
        <v/>
      </c>
      <c r="G34" s="34"/>
      <c r="H34" s="26"/>
      <c r="I34" s="5" t="s">
        <v>92</v>
      </c>
      <c r="J34" s="5" t="s">
        <v>93</v>
      </c>
      <c r="K34" s="40">
        <f t="shared" si="2"/>
        <v>0</v>
      </c>
      <c r="L34" s="5"/>
      <c r="M34" s="41"/>
      <c r="N34" s="17"/>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x14ac:dyDescent="0.2">
      <c r="A35" s="34"/>
      <c r="B35" s="37" t="str">
        <f t="shared" si="0"/>
        <v xml:space="preserve"> </v>
      </c>
      <c r="C35" s="39" t="s">
        <v>255</v>
      </c>
      <c r="D35" s="39" t="s">
        <v>255</v>
      </c>
      <c r="E35" s="39" t="s">
        <v>255</v>
      </c>
      <c r="F35" s="38" t="str">
        <f t="shared" si="1"/>
        <v/>
      </c>
      <c r="G35" s="34"/>
      <c r="H35" s="26"/>
      <c r="I35" s="5" t="s">
        <v>95</v>
      </c>
      <c r="J35" s="5" t="s">
        <v>96</v>
      </c>
      <c r="K35" s="40">
        <f t="shared" si="2"/>
        <v>0</v>
      </c>
      <c r="L35" s="5"/>
      <c r="M35" s="41"/>
      <c r="N35" s="17"/>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x14ac:dyDescent="0.2">
      <c r="A36" s="34"/>
      <c r="B36" s="37" t="str">
        <f t="shared" si="0"/>
        <v xml:space="preserve"> </v>
      </c>
      <c r="C36" s="39" t="s">
        <v>255</v>
      </c>
      <c r="D36" s="39" t="s">
        <v>255</v>
      </c>
      <c r="E36" s="39" t="s">
        <v>255</v>
      </c>
      <c r="F36" s="38" t="str">
        <f t="shared" si="1"/>
        <v/>
      </c>
      <c r="G36" s="34"/>
      <c r="H36" s="26"/>
      <c r="I36" s="5" t="s">
        <v>98</v>
      </c>
      <c r="J36" s="5" t="s">
        <v>99</v>
      </c>
      <c r="K36" s="40">
        <f t="shared" si="2"/>
        <v>0</v>
      </c>
      <c r="L36" s="5"/>
      <c r="M36" s="41"/>
      <c r="N36" s="17"/>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row>
    <row r="37" spans="1:52" x14ac:dyDescent="0.2">
      <c r="A37" s="34"/>
      <c r="B37" s="37" t="str">
        <f t="shared" si="0"/>
        <v xml:space="preserve"> </v>
      </c>
      <c r="C37" s="39" t="s">
        <v>255</v>
      </c>
      <c r="D37" s="39" t="s">
        <v>255</v>
      </c>
      <c r="E37" s="39" t="s">
        <v>255</v>
      </c>
      <c r="F37" s="38" t="str">
        <f t="shared" si="1"/>
        <v/>
      </c>
      <c r="G37" s="34"/>
      <c r="H37" s="26"/>
      <c r="I37" s="5" t="s">
        <v>101</v>
      </c>
      <c r="J37" s="5" t="s">
        <v>102</v>
      </c>
      <c r="K37" s="40">
        <f t="shared" si="2"/>
        <v>0</v>
      </c>
      <c r="L37" s="5"/>
      <c r="M37" s="41"/>
      <c r="N37" s="17"/>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x14ac:dyDescent="0.2">
      <c r="A38" s="34"/>
      <c r="B38" s="37" t="str">
        <f t="shared" si="0"/>
        <v xml:space="preserve"> </v>
      </c>
      <c r="C38" s="39" t="s">
        <v>255</v>
      </c>
      <c r="D38" s="39" t="s">
        <v>255</v>
      </c>
      <c r="E38" s="39" t="s">
        <v>255</v>
      </c>
      <c r="F38" s="38" t="str">
        <f t="shared" si="1"/>
        <v/>
      </c>
      <c r="G38" s="34"/>
      <c r="H38" s="26"/>
      <c r="I38" s="5" t="s">
        <v>104</v>
      </c>
      <c r="J38" s="5" t="s">
        <v>105</v>
      </c>
      <c r="K38" s="40">
        <f t="shared" si="2"/>
        <v>0</v>
      </c>
      <c r="L38" s="5"/>
      <c r="M38" s="41"/>
      <c r="N38" s="17"/>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c r="AV38" s="34"/>
      <c r="AW38" s="34"/>
      <c r="AX38" s="34"/>
      <c r="AY38" s="34"/>
      <c r="AZ38" s="34"/>
    </row>
    <row r="39" spans="1:52" x14ac:dyDescent="0.2">
      <c r="A39" s="34"/>
      <c r="B39" s="37" t="str">
        <f t="shared" si="0"/>
        <v xml:space="preserve"> </v>
      </c>
      <c r="C39" s="39" t="s">
        <v>255</v>
      </c>
      <c r="D39" s="39" t="s">
        <v>255</v>
      </c>
      <c r="E39" s="39" t="s">
        <v>255</v>
      </c>
      <c r="F39" s="38" t="str">
        <f t="shared" si="1"/>
        <v/>
      </c>
      <c r="G39" s="34"/>
      <c r="H39" s="26"/>
      <c r="I39" s="5" t="s">
        <v>107</v>
      </c>
      <c r="J39" s="5" t="s">
        <v>108</v>
      </c>
      <c r="K39" s="40">
        <f t="shared" si="2"/>
        <v>0</v>
      </c>
      <c r="L39" s="5"/>
      <c r="M39" s="41"/>
      <c r="N39" s="17"/>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c r="AV39" s="34"/>
      <c r="AW39" s="34"/>
      <c r="AX39" s="34"/>
      <c r="AY39" s="34"/>
      <c r="AZ39" s="34"/>
    </row>
    <row r="40" spans="1:52" x14ac:dyDescent="0.2">
      <c r="A40" s="34"/>
      <c r="B40" s="37" t="str">
        <f t="shared" si="0"/>
        <v xml:space="preserve"> </v>
      </c>
      <c r="C40" s="39" t="s">
        <v>255</v>
      </c>
      <c r="D40" s="39" t="s">
        <v>255</v>
      </c>
      <c r="E40" s="39" t="s">
        <v>255</v>
      </c>
      <c r="F40" s="38" t="str">
        <f t="shared" si="1"/>
        <v/>
      </c>
      <c r="G40" s="34"/>
      <c r="H40" s="26"/>
      <c r="I40" s="5" t="s">
        <v>110</v>
      </c>
      <c r="J40" s="5" t="s">
        <v>111</v>
      </c>
      <c r="K40" s="40">
        <f t="shared" si="2"/>
        <v>0</v>
      </c>
      <c r="L40" s="5"/>
      <c r="M40" s="41"/>
      <c r="N40" s="17"/>
      <c r="O40" s="34"/>
      <c r="P40" s="34"/>
      <c r="Q40" s="34"/>
      <c r="R40" s="34"/>
      <c r="S40" s="34"/>
      <c r="T40" s="34"/>
      <c r="U40" s="34"/>
      <c r="V40" s="34"/>
      <c r="W40" s="34"/>
      <c r="X40" s="34"/>
      <c r="Y40" s="34"/>
      <c r="Z40" s="34"/>
      <c r="AA40" s="34"/>
      <c r="AB40" s="34"/>
      <c r="AC40" s="34"/>
      <c r="AD40" s="34"/>
      <c r="AE40" s="34"/>
      <c r="AF40" s="34"/>
      <c r="AG40" s="34"/>
      <c r="AH40" s="34"/>
      <c r="AI40" s="34"/>
      <c r="AJ40" s="34"/>
      <c r="AK40" s="34"/>
      <c r="AL40" s="34"/>
      <c r="AM40" s="34"/>
      <c r="AN40" s="34"/>
      <c r="AO40" s="34"/>
      <c r="AP40" s="34"/>
      <c r="AQ40" s="34"/>
      <c r="AR40" s="34"/>
      <c r="AS40" s="34"/>
      <c r="AT40" s="34"/>
      <c r="AU40" s="34"/>
      <c r="AV40" s="34"/>
      <c r="AW40" s="34"/>
      <c r="AX40" s="34"/>
      <c r="AY40" s="34"/>
      <c r="AZ40" s="34"/>
    </row>
    <row r="41" spans="1:52" x14ac:dyDescent="0.2">
      <c r="A41" s="34"/>
      <c r="B41" s="37" t="str">
        <f t="shared" si="0"/>
        <v xml:space="preserve"> </v>
      </c>
      <c r="C41" s="39" t="s">
        <v>255</v>
      </c>
      <c r="D41" s="39" t="s">
        <v>255</v>
      </c>
      <c r="E41" s="39" t="s">
        <v>255</v>
      </c>
      <c r="F41" s="38" t="str">
        <f t="shared" si="1"/>
        <v/>
      </c>
      <c r="G41" s="34"/>
      <c r="H41" s="26"/>
      <c r="I41" s="5" t="s">
        <v>113</v>
      </c>
      <c r="J41" s="5" t="s">
        <v>114</v>
      </c>
      <c r="K41" s="40">
        <f t="shared" si="2"/>
        <v>0</v>
      </c>
      <c r="L41" s="5"/>
      <c r="M41" s="41"/>
      <c r="N41" s="17"/>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O41" s="34"/>
      <c r="AP41" s="34"/>
      <c r="AQ41" s="34"/>
      <c r="AR41" s="34"/>
      <c r="AS41" s="34"/>
      <c r="AT41" s="34"/>
      <c r="AU41" s="34"/>
      <c r="AV41" s="34"/>
      <c r="AW41" s="34"/>
      <c r="AX41" s="34"/>
      <c r="AY41" s="34"/>
      <c r="AZ41" s="34"/>
    </row>
    <row r="42" spans="1:52" x14ac:dyDescent="0.2">
      <c r="A42" s="34"/>
      <c r="B42" s="37" t="str">
        <f t="shared" si="0"/>
        <v xml:space="preserve"> </v>
      </c>
      <c r="C42" s="39" t="s">
        <v>255</v>
      </c>
      <c r="D42" s="39" t="s">
        <v>255</v>
      </c>
      <c r="E42" s="39" t="s">
        <v>255</v>
      </c>
      <c r="F42" s="38" t="str">
        <f t="shared" si="1"/>
        <v/>
      </c>
      <c r="G42" s="34"/>
      <c r="H42" s="26"/>
      <c r="I42" s="5" t="s">
        <v>116</v>
      </c>
      <c r="J42" s="5" t="s">
        <v>117</v>
      </c>
      <c r="K42" s="40">
        <f t="shared" si="2"/>
        <v>0</v>
      </c>
      <c r="L42" s="5"/>
      <c r="M42" s="41"/>
      <c r="N42" s="17"/>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O42" s="34"/>
      <c r="AP42" s="34"/>
      <c r="AQ42" s="34"/>
      <c r="AR42" s="34"/>
      <c r="AS42" s="34"/>
      <c r="AT42" s="34"/>
      <c r="AU42" s="34"/>
      <c r="AV42" s="34"/>
      <c r="AW42" s="34"/>
      <c r="AX42" s="34"/>
      <c r="AY42" s="34"/>
      <c r="AZ42" s="34"/>
    </row>
    <row r="43" spans="1:52" x14ac:dyDescent="0.2">
      <c r="A43" s="34"/>
      <c r="B43" s="37" t="str">
        <f t="shared" si="0"/>
        <v xml:space="preserve"> </v>
      </c>
      <c r="C43" s="39" t="s">
        <v>255</v>
      </c>
      <c r="D43" s="39" t="s">
        <v>255</v>
      </c>
      <c r="E43" s="39" t="s">
        <v>255</v>
      </c>
      <c r="F43" s="38" t="str">
        <f t="shared" si="1"/>
        <v/>
      </c>
      <c r="G43" s="34"/>
      <c r="H43" s="26"/>
      <c r="I43" s="5" t="s">
        <v>119</v>
      </c>
      <c r="J43" s="5" t="s">
        <v>120</v>
      </c>
      <c r="K43" s="40">
        <f t="shared" si="2"/>
        <v>0</v>
      </c>
      <c r="L43" s="5"/>
      <c r="M43" s="41"/>
      <c r="N43" s="17"/>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row>
    <row r="44" spans="1:52" x14ac:dyDescent="0.2">
      <c r="A44" s="34"/>
      <c r="B44" s="37" t="str">
        <f t="shared" si="0"/>
        <v xml:space="preserve"> </v>
      </c>
      <c r="C44" s="39" t="s">
        <v>255</v>
      </c>
      <c r="D44" s="39" t="s">
        <v>255</v>
      </c>
      <c r="E44" s="39" t="s">
        <v>255</v>
      </c>
      <c r="F44" s="38" t="str">
        <f t="shared" si="1"/>
        <v/>
      </c>
      <c r="G44" s="34"/>
      <c r="H44" s="26"/>
      <c r="I44" s="5" t="s">
        <v>122</v>
      </c>
      <c r="J44" s="5" t="s">
        <v>123</v>
      </c>
      <c r="K44" s="40">
        <f t="shared" si="2"/>
        <v>0</v>
      </c>
      <c r="L44" s="5"/>
      <c r="M44" s="41"/>
      <c r="N44" s="17"/>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c r="AZ44" s="34"/>
    </row>
    <row r="45" spans="1:52" x14ac:dyDescent="0.2">
      <c r="A45" s="34"/>
      <c r="B45" s="37" t="str">
        <f t="shared" si="0"/>
        <v xml:space="preserve"> </v>
      </c>
      <c r="C45" s="39" t="s">
        <v>255</v>
      </c>
      <c r="D45" s="39" t="s">
        <v>255</v>
      </c>
      <c r="E45" s="39" t="s">
        <v>255</v>
      </c>
      <c r="F45" s="38" t="str">
        <f t="shared" si="1"/>
        <v/>
      </c>
      <c r="G45" s="34"/>
      <c r="H45" s="26"/>
      <c r="I45" s="5" t="s">
        <v>125</v>
      </c>
      <c r="J45" s="5" t="s">
        <v>126</v>
      </c>
      <c r="K45" s="40">
        <f t="shared" si="2"/>
        <v>0</v>
      </c>
      <c r="L45" s="5"/>
      <c r="M45" s="41"/>
      <c r="N45" s="17"/>
      <c r="O45" s="34"/>
      <c r="P45" s="34"/>
      <c r="Q45" s="34"/>
      <c r="R45" s="34"/>
      <c r="S45" s="34"/>
      <c r="T45" s="34"/>
      <c r="U45" s="34"/>
      <c r="V45" s="34"/>
      <c r="W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c r="AY45" s="34"/>
      <c r="AZ45" s="34"/>
    </row>
    <row r="46" spans="1:52" x14ac:dyDescent="0.2">
      <c r="A46" s="34"/>
      <c r="B46" s="37" t="str">
        <f t="shared" si="0"/>
        <v xml:space="preserve"> </v>
      </c>
      <c r="C46" s="39" t="s">
        <v>255</v>
      </c>
      <c r="D46" s="39" t="s">
        <v>255</v>
      </c>
      <c r="E46" s="39" t="s">
        <v>255</v>
      </c>
      <c r="F46" s="38" t="str">
        <f t="shared" si="1"/>
        <v/>
      </c>
      <c r="G46" s="34"/>
      <c r="H46" s="26"/>
      <c r="I46" s="5" t="s">
        <v>128</v>
      </c>
      <c r="J46" s="5" t="s">
        <v>129</v>
      </c>
      <c r="K46" s="40">
        <f t="shared" si="2"/>
        <v>0</v>
      </c>
      <c r="L46" s="5"/>
      <c r="M46" s="41"/>
      <c r="N46" s="17"/>
      <c r="O46" s="34"/>
      <c r="P46" s="34"/>
      <c r="Q46" s="34"/>
      <c r="R46" s="34"/>
      <c r="S46" s="34"/>
      <c r="T46" s="34"/>
      <c r="U46" s="34"/>
      <c r="V46" s="34"/>
      <c r="W46" s="34"/>
      <c r="X46" s="34"/>
      <c r="Y46" s="34"/>
      <c r="Z46" s="34"/>
      <c r="AA46" s="34"/>
      <c r="AB46" s="34"/>
      <c r="AC46" s="34"/>
      <c r="AD46" s="34"/>
      <c r="AE46" s="34"/>
      <c r="AF46" s="34"/>
      <c r="AG46" s="34"/>
      <c r="AH46" s="34"/>
      <c r="AI46" s="34"/>
      <c r="AJ46" s="34"/>
      <c r="AK46" s="34"/>
      <c r="AL46" s="34"/>
      <c r="AM46" s="34"/>
      <c r="AN46" s="34"/>
      <c r="AO46" s="34"/>
      <c r="AP46" s="34"/>
      <c r="AQ46" s="34"/>
      <c r="AR46" s="34"/>
      <c r="AS46" s="34"/>
      <c r="AT46" s="34"/>
      <c r="AU46" s="34"/>
      <c r="AV46" s="34"/>
      <c r="AW46" s="34"/>
      <c r="AX46" s="34"/>
      <c r="AY46" s="34"/>
      <c r="AZ46" s="34"/>
    </row>
    <row r="47" spans="1:52" x14ac:dyDescent="0.2">
      <c r="A47" s="34"/>
      <c r="B47" s="37" t="str">
        <f t="shared" si="0"/>
        <v xml:space="preserve"> </v>
      </c>
      <c r="C47" s="39" t="s">
        <v>255</v>
      </c>
      <c r="D47" s="39" t="s">
        <v>255</v>
      </c>
      <c r="E47" s="39" t="s">
        <v>255</v>
      </c>
      <c r="F47" s="38" t="str">
        <f t="shared" si="1"/>
        <v/>
      </c>
      <c r="G47" s="34"/>
      <c r="H47" s="26"/>
      <c r="I47" s="5" t="s">
        <v>131</v>
      </c>
      <c r="J47" s="5" t="s">
        <v>132</v>
      </c>
      <c r="K47" s="40">
        <f t="shared" si="2"/>
        <v>0</v>
      </c>
      <c r="L47" s="5"/>
      <c r="M47" s="41"/>
      <c r="N47" s="17"/>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x14ac:dyDescent="0.2">
      <c r="A48" s="34"/>
      <c r="B48" s="37" t="str">
        <f t="shared" si="0"/>
        <v xml:space="preserve"> </v>
      </c>
      <c r="C48" s="39" t="s">
        <v>255</v>
      </c>
      <c r="D48" s="39" t="s">
        <v>255</v>
      </c>
      <c r="E48" s="39" t="s">
        <v>255</v>
      </c>
      <c r="F48" s="38" t="str">
        <f t="shared" si="1"/>
        <v/>
      </c>
      <c r="G48" s="34"/>
      <c r="H48" s="26"/>
      <c r="I48" s="5" t="s">
        <v>134</v>
      </c>
      <c r="J48" s="5" t="s">
        <v>135</v>
      </c>
      <c r="K48" s="40">
        <f t="shared" si="2"/>
        <v>0</v>
      </c>
      <c r="L48" s="5"/>
      <c r="M48" s="41"/>
      <c r="N48" s="17"/>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c r="AY48" s="34"/>
      <c r="AZ48" s="34"/>
    </row>
    <row r="49" spans="1:52" x14ac:dyDescent="0.2">
      <c r="A49" s="34"/>
      <c r="B49" s="37" t="str">
        <f t="shared" si="0"/>
        <v xml:space="preserve"> </v>
      </c>
      <c r="C49" s="39" t="s">
        <v>255</v>
      </c>
      <c r="D49" s="39" t="s">
        <v>255</v>
      </c>
      <c r="E49" s="39" t="s">
        <v>255</v>
      </c>
      <c r="F49" s="38" t="str">
        <f t="shared" si="1"/>
        <v/>
      </c>
      <c r="G49" s="34"/>
      <c r="H49" s="26"/>
      <c r="I49" s="5" t="s">
        <v>137</v>
      </c>
      <c r="J49" s="5" t="s">
        <v>138</v>
      </c>
      <c r="K49" s="40">
        <f t="shared" si="2"/>
        <v>0</v>
      </c>
      <c r="L49" s="5"/>
      <c r="M49" s="41"/>
      <c r="N49" s="17"/>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O49" s="34"/>
      <c r="AP49" s="34"/>
      <c r="AQ49" s="34"/>
      <c r="AR49" s="34"/>
      <c r="AS49" s="34"/>
      <c r="AT49" s="34"/>
      <c r="AU49" s="34"/>
      <c r="AV49" s="34"/>
      <c r="AW49" s="34"/>
      <c r="AX49" s="34"/>
      <c r="AY49" s="34"/>
      <c r="AZ49" s="34"/>
    </row>
    <row r="50" spans="1:52" x14ac:dyDescent="0.2">
      <c r="A50" s="34"/>
      <c r="B50" s="37" t="str">
        <f t="shared" si="0"/>
        <v xml:space="preserve"> </v>
      </c>
      <c r="C50" s="39" t="s">
        <v>255</v>
      </c>
      <c r="D50" s="39" t="s">
        <v>255</v>
      </c>
      <c r="E50" s="39" t="s">
        <v>255</v>
      </c>
      <c r="F50" s="38" t="str">
        <f t="shared" si="1"/>
        <v/>
      </c>
      <c r="G50" s="34"/>
      <c r="H50" s="26"/>
      <c r="I50" s="5" t="s">
        <v>140</v>
      </c>
      <c r="J50" s="5" t="s">
        <v>141</v>
      </c>
      <c r="K50" s="40">
        <f t="shared" si="2"/>
        <v>0</v>
      </c>
      <c r="L50" s="5"/>
      <c r="M50" s="41"/>
      <c r="N50" s="17"/>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O50" s="34"/>
      <c r="AP50" s="34"/>
      <c r="AQ50" s="34"/>
      <c r="AR50" s="34"/>
      <c r="AS50" s="34"/>
      <c r="AT50" s="34"/>
      <c r="AU50" s="34"/>
      <c r="AV50" s="34"/>
      <c r="AW50" s="34"/>
      <c r="AX50" s="34"/>
      <c r="AY50" s="34"/>
      <c r="AZ50" s="34"/>
    </row>
    <row r="51" spans="1:52" x14ac:dyDescent="0.2">
      <c r="A51" s="34"/>
      <c r="B51" s="37" t="str">
        <f t="shared" si="0"/>
        <v xml:space="preserve"> </v>
      </c>
      <c r="C51" s="39" t="s">
        <v>255</v>
      </c>
      <c r="D51" s="39" t="s">
        <v>255</v>
      </c>
      <c r="E51" s="39" t="s">
        <v>255</v>
      </c>
      <c r="F51" s="38" t="str">
        <f t="shared" si="1"/>
        <v/>
      </c>
      <c r="G51" s="34"/>
      <c r="H51" s="26"/>
      <c r="I51" s="5" t="s">
        <v>143</v>
      </c>
      <c r="J51" s="5" t="s">
        <v>144</v>
      </c>
      <c r="K51" s="40">
        <f t="shared" si="2"/>
        <v>0</v>
      </c>
      <c r="L51" s="5"/>
      <c r="M51" s="41"/>
      <c r="N51" s="17"/>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x14ac:dyDescent="0.2">
      <c r="A52" s="34"/>
      <c r="B52" s="37" t="str">
        <f t="shared" si="0"/>
        <v xml:space="preserve"> </v>
      </c>
      <c r="C52" s="39" t="s">
        <v>255</v>
      </c>
      <c r="D52" s="39" t="s">
        <v>255</v>
      </c>
      <c r="E52" s="39" t="s">
        <v>255</v>
      </c>
      <c r="F52" s="38" t="str">
        <f t="shared" si="1"/>
        <v/>
      </c>
      <c r="G52" s="34"/>
      <c r="H52" s="26"/>
      <c r="I52" s="5"/>
      <c r="J52" s="5"/>
      <c r="K52" s="5"/>
      <c r="L52" s="5"/>
      <c r="M52" s="5"/>
      <c r="N52" s="17"/>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x14ac:dyDescent="0.2">
      <c r="A53" s="34"/>
      <c r="B53" s="37" t="str">
        <f t="shared" si="0"/>
        <v xml:space="preserve"> </v>
      </c>
      <c r="C53" s="39" t="s">
        <v>255</v>
      </c>
      <c r="D53" s="39" t="s">
        <v>255</v>
      </c>
      <c r="E53" s="39" t="s">
        <v>255</v>
      </c>
      <c r="F53" s="38" t="str">
        <f t="shared" si="1"/>
        <v/>
      </c>
      <c r="G53" s="34"/>
      <c r="H53" s="26"/>
      <c r="I53" s="5"/>
      <c r="J53" s="5"/>
      <c r="K53" s="5"/>
      <c r="L53" s="5"/>
      <c r="M53" s="5"/>
      <c r="N53" s="17"/>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x14ac:dyDescent="0.2">
      <c r="A54" s="34"/>
      <c r="B54" s="37" t="str">
        <f t="shared" si="0"/>
        <v xml:space="preserve"> </v>
      </c>
      <c r="C54" s="39" t="s">
        <v>255</v>
      </c>
      <c r="D54" s="39" t="s">
        <v>255</v>
      </c>
      <c r="E54" s="39" t="s">
        <v>255</v>
      </c>
      <c r="F54" s="38" t="str">
        <f t="shared" si="1"/>
        <v/>
      </c>
      <c r="G54" s="34"/>
      <c r="H54" s="27"/>
      <c r="I54" s="13"/>
      <c r="J54" s="13"/>
      <c r="K54" s="13"/>
      <c r="L54" s="13"/>
      <c r="M54" s="13"/>
      <c r="N54" s="29"/>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x14ac:dyDescent="0.2">
      <c r="A55" s="34"/>
      <c r="B55" s="37" t="str">
        <f t="shared" si="0"/>
        <v xml:space="preserve"> </v>
      </c>
      <c r="C55" s="39" t="s">
        <v>255</v>
      </c>
      <c r="D55" s="39" t="s">
        <v>255</v>
      </c>
      <c r="E55" s="39" t="s">
        <v>255</v>
      </c>
      <c r="F55" s="38" t="str">
        <f t="shared" si="1"/>
        <v/>
      </c>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x14ac:dyDescent="0.2">
      <c r="A56" s="34"/>
      <c r="B56" s="37" t="str">
        <f t="shared" si="0"/>
        <v xml:space="preserve"> </v>
      </c>
      <c r="C56" s="39" t="s">
        <v>255</v>
      </c>
      <c r="D56" s="39" t="s">
        <v>255</v>
      </c>
      <c r="E56" s="39" t="s">
        <v>255</v>
      </c>
      <c r="F56" s="38" t="str">
        <f t="shared" si="1"/>
        <v/>
      </c>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x14ac:dyDescent="0.2">
      <c r="A57" s="34"/>
      <c r="B57" s="37" t="str">
        <f t="shared" si="0"/>
        <v xml:space="preserve"> </v>
      </c>
      <c r="C57" s="39" t="s">
        <v>255</v>
      </c>
      <c r="D57" s="39" t="s">
        <v>255</v>
      </c>
      <c r="E57" s="39" t="s">
        <v>255</v>
      </c>
      <c r="F57" s="38" t="str">
        <f t="shared" si="1"/>
        <v/>
      </c>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x14ac:dyDescent="0.2">
      <c r="A58" s="34"/>
      <c r="B58" s="37" t="str">
        <f t="shared" si="0"/>
        <v xml:space="preserve"> </v>
      </c>
      <c r="C58" s="39" t="s">
        <v>255</v>
      </c>
      <c r="D58" s="39" t="s">
        <v>255</v>
      </c>
      <c r="E58" s="39" t="s">
        <v>255</v>
      </c>
      <c r="F58" s="38" t="str">
        <f t="shared" si="1"/>
        <v/>
      </c>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x14ac:dyDescent="0.2">
      <c r="A59" s="34"/>
      <c r="B59" s="37" t="str">
        <f t="shared" si="0"/>
        <v xml:space="preserve"> </v>
      </c>
      <c r="C59" s="39" t="s">
        <v>255</v>
      </c>
      <c r="D59" s="39" t="s">
        <v>255</v>
      </c>
      <c r="E59" s="39" t="s">
        <v>255</v>
      </c>
      <c r="F59" s="38" t="str">
        <f t="shared" si="1"/>
        <v/>
      </c>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x14ac:dyDescent="0.2">
      <c r="A60" s="34"/>
      <c r="B60" s="37" t="str">
        <f t="shared" si="0"/>
        <v xml:space="preserve"> </v>
      </c>
      <c r="C60" s="39" t="s">
        <v>255</v>
      </c>
      <c r="D60" s="39" t="s">
        <v>255</v>
      </c>
      <c r="E60" s="39" t="s">
        <v>255</v>
      </c>
      <c r="F60" s="38" t="str">
        <f t="shared" si="1"/>
        <v/>
      </c>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x14ac:dyDescent="0.2">
      <c r="A61" s="34"/>
      <c r="B61" s="37" t="str">
        <f t="shared" si="0"/>
        <v xml:space="preserve"> </v>
      </c>
      <c r="C61" s="39" t="s">
        <v>255</v>
      </c>
      <c r="D61" s="39" t="s">
        <v>255</v>
      </c>
      <c r="E61" s="39" t="s">
        <v>255</v>
      </c>
      <c r="F61" s="38" t="str">
        <f t="shared" si="1"/>
        <v/>
      </c>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x14ac:dyDescent="0.2">
      <c r="A62" s="34"/>
      <c r="B62" s="37" t="str">
        <f t="shared" si="0"/>
        <v xml:space="preserve"> </v>
      </c>
      <c r="C62" s="39" t="s">
        <v>255</v>
      </c>
      <c r="D62" s="39" t="s">
        <v>255</v>
      </c>
      <c r="E62" s="39" t="s">
        <v>255</v>
      </c>
      <c r="F62" s="38" t="str">
        <f t="shared" si="1"/>
        <v/>
      </c>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c r="AT62" s="34"/>
      <c r="AU62" s="34"/>
      <c r="AV62" s="34"/>
      <c r="AW62" s="34"/>
      <c r="AX62" s="34"/>
      <c r="AY62" s="34"/>
      <c r="AZ62" s="34"/>
    </row>
    <row r="63" spans="1:52" x14ac:dyDescent="0.2">
      <c r="A63" s="34"/>
      <c r="B63" s="37" t="str">
        <f t="shared" si="0"/>
        <v xml:space="preserve"> </v>
      </c>
      <c r="C63" s="39" t="s">
        <v>255</v>
      </c>
      <c r="D63" s="39" t="s">
        <v>255</v>
      </c>
      <c r="E63" s="39" t="s">
        <v>255</v>
      </c>
      <c r="F63" s="38" t="str">
        <f t="shared" si="1"/>
        <v/>
      </c>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4"/>
      <c r="AO63" s="34"/>
      <c r="AP63" s="34"/>
      <c r="AQ63" s="34"/>
      <c r="AR63" s="34"/>
      <c r="AS63" s="34"/>
      <c r="AT63" s="34"/>
      <c r="AU63" s="34"/>
      <c r="AV63" s="34"/>
      <c r="AW63" s="34"/>
      <c r="AX63" s="34"/>
      <c r="AY63" s="34"/>
      <c r="AZ63" s="34"/>
    </row>
    <row r="64" spans="1:52" x14ac:dyDescent="0.2">
      <c r="A64" s="34"/>
      <c r="B64" s="37" t="str">
        <f t="shared" si="0"/>
        <v xml:space="preserve"> </v>
      </c>
      <c r="C64" s="39" t="s">
        <v>255</v>
      </c>
      <c r="D64" s="39" t="s">
        <v>255</v>
      </c>
      <c r="E64" s="39" t="s">
        <v>255</v>
      </c>
      <c r="F64" s="38" t="str">
        <f t="shared" si="1"/>
        <v/>
      </c>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4"/>
      <c r="AO64" s="34"/>
      <c r="AP64" s="34"/>
      <c r="AQ64" s="34"/>
      <c r="AR64" s="34"/>
      <c r="AS64" s="34"/>
      <c r="AT64" s="34"/>
      <c r="AU64" s="34"/>
      <c r="AV64" s="34"/>
      <c r="AW64" s="34"/>
      <c r="AX64" s="34"/>
      <c r="AY64" s="34"/>
      <c r="AZ64" s="34"/>
    </row>
    <row r="65" spans="1:52" x14ac:dyDescent="0.2">
      <c r="A65" s="34"/>
      <c r="B65" s="37" t="str">
        <f t="shared" si="0"/>
        <v xml:space="preserve"> </v>
      </c>
      <c r="C65" s="39" t="s">
        <v>255</v>
      </c>
      <c r="D65" s="39" t="s">
        <v>255</v>
      </c>
      <c r="E65" s="39" t="s">
        <v>255</v>
      </c>
      <c r="F65" s="38" t="str">
        <f t="shared" si="1"/>
        <v/>
      </c>
      <c r="G65" s="34"/>
      <c r="H65" s="34"/>
      <c r="I65" s="34"/>
      <c r="J65" s="34"/>
      <c r="K65" s="34"/>
      <c r="L65" s="34"/>
      <c r="M65" s="34"/>
      <c r="N65" s="34"/>
      <c r="O65" s="34"/>
      <c r="P65" s="34"/>
      <c r="Q65" s="34"/>
      <c r="R65" s="34"/>
      <c r="S65" s="34"/>
      <c r="T65" s="34"/>
      <c r="U65" s="34"/>
      <c r="V65" s="34"/>
      <c r="W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c r="AY65" s="34"/>
      <c r="AZ65" s="34"/>
    </row>
    <row r="66" spans="1:52" x14ac:dyDescent="0.2">
      <c r="A66" s="34"/>
      <c r="B66" s="37" t="str">
        <f t="shared" si="0"/>
        <v xml:space="preserve"> </v>
      </c>
      <c r="C66" s="39" t="s">
        <v>255</v>
      </c>
      <c r="D66" s="39" t="s">
        <v>255</v>
      </c>
      <c r="E66" s="39" t="s">
        <v>255</v>
      </c>
      <c r="F66" s="38" t="str">
        <f t="shared" si="1"/>
        <v/>
      </c>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c r="AZ66" s="34"/>
    </row>
    <row r="67" spans="1:52" x14ac:dyDescent="0.2">
      <c r="A67" s="34"/>
      <c r="B67" s="37" t="str">
        <f t="shared" si="0"/>
        <v xml:space="preserve"> </v>
      </c>
      <c r="C67" s="39" t="s">
        <v>255</v>
      </c>
      <c r="D67" s="39" t="s">
        <v>255</v>
      </c>
      <c r="E67" s="39" t="s">
        <v>255</v>
      </c>
      <c r="F67" s="38" t="str">
        <f t="shared" si="1"/>
        <v/>
      </c>
      <c r="G67" s="34"/>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c r="AY67" s="34"/>
      <c r="AZ67" s="34"/>
    </row>
    <row r="68" spans="1:52" x14ac:dyDescent="0.2">
      <c r="A68" s="34"/>
      <c r="B68" s="37" t="str">
        <f t="shared" si="0"/>
        <v xml:space="preserve"> </v>
      </c>
      <c r="C68" s="39" t="s">
        <v>255</v>
      </c>
      <c r="D68" s="39" t="s">
        <v>255</v>
      </c>
      <c r="E68" s="39" t="s">
        <v>255</v>
      </c>
      <c r="F68" s="38" t="str">
        <f t="shared" si="1"/>
        <v/>
      </c>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c r="AT68" s="34"/>
      <c r="AU68" s="34"/>
      <c r="AV68" s="34"/>
      <c r="AW68" s="34"/>
      <c r="AX68" s="34"/>
      <c r="AY68" s="34"/>
      <c r="AZ68" s="34"/>
    </row>
    <row r="69" spans="1:52" x14ac:dyDescent="0.2">
      <c r="A69" s="34"/>
      <c r="B69" s="37" t="str">
        <f t="shared" si="0"/>
        <v xml:space="preserve"> </v>
      </c>
      <c r="C69" s="39" t="s">
        <v>255</v>
      </c>
      <c r="D69" s="39" t="s">
        <v>255</v>
      </c>
      <c r="E69" s="39" t="s">
        <v>255</v>
      </c>
      <c r="F69" s="38" t="str">
        <f t="shared" si="1"/>
        <v/>
      </c>
      <c r="G69" s="34"/>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c r="AT69" s="34"/>
      <c r="AU69" s="34"/>
      <c r="AV69" s="34"/>
      <c r="AW69" s="34"/>
      <c r="AX69" s="34"/>
      <c r="AY69" s="34"/>
      <c r="AZ69" s="34"/>
    </row>
    <row r="70" spans="1:52" x14ac:dyDescent="0.2">
      <c r="A70" s="34"/>
      <c r="B70" s="37" t="str">
        <f t="shared" si="0"/>
        <v xml:space="preserve"> </v>
      </c>
      <c r="C70" s="39" t="s">
        <v>255</v>
      </c>
      <c r="D70" s="39" t="s">
        <v>255</v>
      </c>
      <c r="E70" s="39" t="s">
        <v>255</v>
      </c>
      <c r="F70" s="38" t="str">
        <f t="shared" si="1"/>
        <v/>
      </c>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c r="AT70" s="34"/>
      <c r="AU70" s="34"/>
      <c r="AV70" s="34"/>
      <c r="AW70" s="34"/>
      <c r="AX70" s="34"/>
      <c r="AY70" s="34"/>
      <c r="AZ70" s="34"/>
    </row>
    <row r="71" spans="1:52" x14ac:dyDescent="0.2">
      <c r="A71" s="34"/>
      <c r="B71" s="37" t="str">
        <f t="shared" si="0"/>
        <v xml:space="preserve"> </v>
      </c>
      <c r="C71" s="39" t="s">
        <v>255</v>
      </c>
      <c r="D71" s="39" t="s">
        <v>255</v>
      </c>
      <c r="E71" s="39" t="s">
        <v>255</v>
      </c>
      <c r="F71" s="38" t="str">
        <f t="shared" si="1"/>
        <v/>
      </c>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c r="AT71" s="34"/>
      <c r="AU71" s="34"/>
      <c r="AV71" s="34"/>
      <c r="AW71" s="34"/>
      <c r="AX71" s="34"/>
      <c r="AY71" s="34"/>
      <c r="AZ71" s="34"/>
    </row>
    <row r="72" spans="1:52" x14ac:dyDescent="0.2">
      <c r="A72" s="34"/>
      <c r="B72" s="37" t="str">
        <f t="shared" si="0"/>
        <v xml:space="preserve"> </v>
      </c>
      <c r="C72" s="39" t="s">
        <v>255</v>
      </c>
      <c r="D72" s="39" t="s">
        <v>255</v>
      </c>
      <c r="E72" s="39" t="s">
        <v>255</v>
      </c>
      <c r="F72" s="38" t="str">
        <f t="shared" si="1"/>
        <v/>
      </c>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4"/>
      <c r="AO72" s="34"/>
      <c r="AP72" s="34"/>
      <c r="AQ72" s="34"/>
      <c r="AR72" s="34"/>
      <c r="AS72" s="34"/>
      <c r="AT72" s="34"/>
      <c r="AU72" s="34"/>
      <c r="AV72" s="34"/>
      <c r="AW72" s="34"/>
      <c r="AX72" s="34"/>
      <c r="AY72" s="34"/>
      <c r="AZ72" s="34"/>
    </row>
    <row r="73" spans="1:52" x14ac:dyDescent="0.2">
      <c r="A73" s="34"/>
      <c r="B73" s="37" t="str">
        <f t="shared" si="0"/>
        <v xml:space="preserve"> </v>
      </c>
      <c r="C73" s="39" t="s">
        <v>255</v>
      </c>
      <c r="D73" s="39" t="s">
        <v>255</v>
      </c>
      <c r="E73" s="39" t="s">
        <v>255</v>
      </c>
      <c r="F73" s="38" t="str">
        <f t="shared" si="1"/>
        <v/>
      </c>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4"/>
      <c r="AI73" s="34"/>
      <c r="AJ73" s="34"/>
      <c r="AK73" s="34"/>
      <c r="AL73" s="34"/>
      <c r="AM73" s="34"/>
      <c r="AN73" s="34"/>
      <c r="AO73" s="34"/>
      <c r="AP73" s="34"/>
      <c r="AQ73" s="34"/>
      <c r="AR73" s="34"/>
      <c r="AS73" s="34"/>
      <c r="AT73" s="34"/>
      <c r="AU73" s="34"/>
      <c r="AV73" s="34"/>
      <c r="AW73" s="34"/>
      <c r="AX73" s="34"/>
      <c r="AY73" s="34"/>
      <c r="AZ73" s="34"/>
    </row>
    <row r="74" spans="1:52" x14ac:dyDescent="0.2">
      <c r="A74" s="34"/>
      <c r="B74" s="37" t="str">
        <f t="shared" si="0"/>
        <v xml:space="preserve"> </v>
      </c>
      <c r="C74" s="39" t="s">
        <v>255</v>
      </c>
      <c r="D74" s="39" t="s">
        <v>255</v>
      </c>
      <c r="E74" s="39" t="s">
        <v>255</v>
      </c>
      <c r="F74" s="38" t="str">
        <f t="shared" si="1"/>
        <v/>
      </c>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row>
    <row r="75" spans="1:52" x14ac:dyDescent="0.2">
      <c r="A75" s="34"/>
      <c r="B75" s="37" t="str">
        <f t="shared" si="0"/>
        <v xml:space="preserve"> </v>
      </c>
      <c r="C75" s="39" t="s">
        <v>255</v>
      </c>
      <c r="D75" s="39" t="s">
        <v>255</v>
      </c>
      <c r="E75" s="39" t="s">
        <v>255</v>
      </c>
      <c r="F75" s="38" t="str">
        <f t="shared" si="1"/>
        <v/>
      </c>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row>
    <row r="76" spans="1:52" x14ac:dyDescent="0.2">
      <c r="A76" s="34"/>
      <c r="B76" s="37" t="str">
        <f t="shared" si="0"/>
        <v xml:space="preserve"> </v>
      </c>
      <c r="C76" s="39" t="s">
        <v>255</v>
      </c>
      <c r="D76" s="39" t="s">
        <v>255</v>
      </c>
      <c r="E76" s="39" t="s">
        <v>255</v>
      </c>
      <c r="F76" s="38" t="str">
        <f t="shared" si="1"/>
        <v/>
      </c>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c r="AT76" s="34"/>
      <c r="AU76" s="34"/>
      <c r="AV76" s="34"/>
      <c r="AW76" s="34"/>
      <c r="AX76" s="34"/>
      <c r="AY76" s="34"/>
      <c r="AZ76" s="34"/>
    </row>
    <row r="77" spans="1:52" x14ac:dyDescent="0.2">
      <c r="A77" s="34"/>
      <c r="B77" s="37" t="str">
        <f t="shared" si="0"/>
        <v xml:space="preserve"> </v>
      </c>
      <c r="C77" s="39" t="s">
        <v>255</v>
      </c>
      <c r="D77" s="39" t="s">
        <v>255</v>
      </c>
      <c r="E77" s="39" t="s">
        <v>255</v>
      </c>
      <c r="F77" s="38" t="str">
        <f t="shared" si="1"/>
        <v/>
      </c>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row>
    <row r="78" spans="1:52" x14ac:dyDescent="0.2">
      <c r="A78" s="34"/>
      <c r="B78" s="37" t="str">
        <f t="shared" si="0"/>
        <v xml:space="preserve"> </v>
      </c>
      <c r="C78" s="39" t="s">
        <v>255</v>
      </c>
      <c r="D78" s="39" t="s">
        <v>255</v>
      </c>
      <c r="E78" s="39" t="s">
        <v>255</v>
      </c>
      <c r="F78" s="38" t="str">
        <f t="shared" si="1"/>
        <v/>
      </c>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row>
    <row r="79" spans="1:52" x14ac:dyDescent="0.2">
      <c r="A79" s="34"/>
      <c r="B79" s="37" t="str">
        <f t="shared" si="0"/>
        <v xml:space="preserve"> </v>
      </c>
      <c r="C79" s="39" t="s">
        <v>255</v>
      </c>
      <c r="D79" s="39" t="s">
        <v>255</v>
      </c>
      <c r="E79" s="39" t="s">
        <v>255</v>
      </c>
      <c r="F79" s="38" t="str">
        <f t="shared" si="1"/>
        <v/>
      </c>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c r="AY79" s="34"/>
      <c r="AZ79" s="34"/>
    </row>
    <row r="80" spans="1:52" x14ac:dyDescent="0.2">
      <c r="A80" s="34"/>
      <c r="B80" s="37" t="str">
        <f t="shared" si="0"/>
        <v xml:space="preserve"> </v>
      </c>
      <c r="C80" s="39" t="s">
        <v>255</v>
      </c>
      <c r="D80" s="39" t="s">
        <v>255</v>
      </c>
      <c r="E80" s="39" t="s">
        <v>255</v>
      </c>
      <c r="F80" s="38" t="str">
        <f t="shared" si="1"/>
        <v/>
      </c>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row>
    <row r="81" spans="1:52" x14ac:dyDescent="0.2">
      <c r="A81" s="34"/>
      <c r="B81" s="37" t="str">
        <f t="shared" si="0"/>
        <v xml:space="preserve"> </v>
      </c>
      <c r="C81" s="39" t="s">
        <v>255</v>
      </c>
      <c r="D81" s="39" t="s">
        <v>255</v>
      </c>
      <c r="E81" s="39" t="s">
        <v>255</v>
      </c>
      <c r="F81" s="38" t="str">
        <f t="shared" si="1"/>
        <v/>
      </c>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c r="AY81" s="34"/>
      <c r="AZ81" s="34"/>
    </row>
    <row r="82" spans="1:52" x14ac:dyDescent="0.2">
      <c r="A82" s="34"/>
      <c r="B82" s="37" t="str">
        <f t="shared" ref="B82:B145" si="3">IF(LEFT(C82, 2)="20", "W" &amp; C82, C82)</f>
        <v xml:space="preserve"> </v>
      </c>
      <c r="C82" s="39" t="s">
        <v>255</v>
      </c>
      <c r="D82" s="39" t="s">
        <v>255</v>
      </c>
      <c r="E82" s="39" t="s">
        <v>255</v>
      </c>
      <c r="F82" s="38" t="str">
        <f t="shared" ref="F82:F145" si="4">IF(C82= " ", "", IFERROR(VLOOKUP(B82, ExtMarksRHS, 4, FALSE), "X"))</f>
        <v/>
      </c>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c r="AH82" s="34"/>
      <c r="AI82" s="34"/>
      <c r="AJ82" s="34"/>
      <c r="AK82" s="34"/>
      <c r="AL82" s="34"/>
      <c r="AM82" s="34"/>
      <c r="AN82" s="34"/>
      <c r="AO82" s="34"/>
      <c r="AP82" s="34"/>
      <c r="AQ82" s="34"/>
      <c r="AR82" s="34"/>
      <c r="AS82" s="34"/>
      <c r="AT82" s="34"/>
      <c r="AU82" s="34"/>
      <c r="AV82" s="34"/>
      <c r="AW82" s="34"/>
      <c r="AX82" s="34"/>
      <c r="AY82" s="34"/>
      <c r="AZ82" s="34"/>
    </row>
    <row r="83" spans="1:52" x14ac:dyDescent="0.2">
      <c r="A83" s="34"/>
      <c r="B83" s="37" t="str">
        <f t="shared" si="3"/>
        <v xml:space="preserve"> </v>
      </c>
      <c r="C83" s="39" t="s">
        <v>255</v>
      </c>
      <c r="D83" s="39" t="s">
        <v>255</v>
      </c>
      <c r="E83" s="39" t="s">
        <v>255</v>
      </c>
      <c r="F83" s="38" t="str">
        <f t="shared" si="4"/>
        <v/>
      </c>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c r="AY83" s="34"/>
      <c r="AZ83" s="34"/>
    </row>
    <row r="84" spans="1:52" x14ac:dyDescent="0.2">
      <c r="A84" s="34"/>
      <c r="B84" s="37" t="str">
        <f t="shared" si="3"/>
        <v xml:space="preserve"> </v>
      </c>
      <c r="C84" s="39" t="s">
        <v>255</v>
      </c>
      <c r="D84" s="39" t="s">
        <v>255</v>
      </c>
      <c r="E84" s="39" t="s">
        <v>255</v>
      </c>
      <c r="F84" s="38" t="str">
        <f t="shared" si="4"/>
        <v/>
      </c>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c r="AZ84" s="34"/>
    </row>
    <row r="85" spans="1:52" x14ac:dyDescent="0.2">
      <c r="A85" s="34"/>
      <c r="B85" s="37" t="str">
        <f t="shared" si="3"/>
        <v xml:space="preserve"> </v>
      </c>
      <c r="C85" s="39" t="s">
        <v>255</v>
      </c>
      <c r="D85" s="39" t="s">
        <v>255</v>
      </c>
      <c r="E85" s="39" t="s">
        <v>255</v>
      </c>
      <c r="F85" s="38" t="str">
        <f t="shared" si="4"/>
        <v/>
      </c>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row>
    <row r="86" spans="1:52" x14ac:dyDescent="0.2">
      <c r="A86" s="34"/>
      <c r="B86" s="37" t="str">
        <f t="shared" si="3"/>
        <v xml:space="preserve"> </v>
      </c>
      <c r="C86" s="39" t="s">
        <v>255</v>
      </c>
      <c r="D86" s="39" t="s">
        <v>255</v>
      </c>
      <c r="E86" s="39" t="s">
        <v>255</v>
      </c>
      <c r="F86" s="38" t="str">
        <f t="shared" si="4"/>
        <v/>
      </c>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row>
    <row r="87" spans="1:52" x14ac:dyDescent="0.2">
      <c r="A87" s="34"/>
      <c r="B87" s="37" t="str">
        <f t="shared" si="3"/>
        <v xml:space="preserve"> </v>
      </c>
      <c r="C87" s="39" t="s">
        <v>255</v>
      </c>
      <c r="D87" s="39" t="s">
        <v>255</v>
      </c>
      <c r="E87" s="39" t="s">
        <v>255</v>
      </c>
      <c r="F87" s="38" t="str">
        <f t="shared" si="4"/>
        <v/>
      </c>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row>
    <row r="88" spans="1:52" x14ac:dyDescent="0.2">
      <c r="A88" s="34"/>
      <c r="B88" s="37" t="str">
        <f t="shared" si="3"/>
        <v xml:space="preserve"> </v>
      </c>
      <c r="C88" s="39" t="s">
        <v>255</v>
      </c>
      <c r="D88" s="39" t="s">
        <v>255</v>
      </c>
      <c r="E88" s="39" t="s">
        <v>255</v>
      </c>
      <c r="F88" s="38" t="str">
        <f t="shared" si="4"/>
        <v/>
      </c>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row>
    <row r="89" spans="1:52" x14ac:dyDescent="0.2">
      <c r="A89" s="34"/>
      <c r="B89" s="37" t="str">
        <f t="shared" si="3"/>
        <v xml:space="preserve"> </v>
      </c>
      <c r="C89" s="39" t="s">
        <v>255</v>
      </c>
      <c r="D89" s="39" t="s">
        <v>255</v>
      </c>
      <c r="E89" s="39" t="s">
        <v>255</v>
      </c>
      <c r="F89" s="38" t="str">
        <f t="shared" si="4"/>
        <v/>
      </c>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row>
    <row r="90" spans="1:52" x14ac:dyDescent="0.2">
      <c r="A90" s="34"/>
      <c r="B90" s="37" t="str">
        <f t="shared" si="3"/>
        <v xml:space="preserve"> </v>
      </c>
      <c r="C90" s="39" t="s">
        <v>255</v>
      </c>
      <c r="D90" s="39" t="s">
        <v>255</v>
      </c>
      <c r="E90" s="39" t="s">
        <v>255</v>
      </c>
      <c r="F90" s="38" t="str">
        <f t="shared" si="4"/>
        <v/>
      </c>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row>
    <row r="91" spans="1:52" x14ac:dyDescent="0.2">
      <c r="A91" s="34"/>
      <c r="B91" s="37" t="str">
        <f t="shared" si="3"/>
        <v xml:space="preserve"> </v>
      </c>
      <c r="C91" s="39" t="s">
        <v>255</v>
      </c>
      <c r="D91" s="39" t="s">
        <v>255</v>
      </c>
      <c r="E91" s="39" t="s">
        <v>255</v>
      </c>
      <c r="F91" s="38" t="str">
        <f t="shared" si="4"/>
        <v/>
      </c>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row>
    <row r="92" spans="1:52" x14ac:dyDescent="0.2">
      <c r="A92" s="34"/>
      <c r="B92" s="37" t="str">
        <f t="shared" si="3"/>
        <v xml:space="preserve"> </v>
      </c>
      <c r="C92" s="39" t="s">
        <v>255</v>
      </c>
      <c r="D92" s="39" t="s">
        <v>255</v>
      </c>
      <c r="E92" s="39" t="s">
        <v>255</v>
      </c>
      <c r="F92" s="38" t="str">
        <f t="shared" si="4"/>
        <v/>
      </c>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row>
    <row r="93" spans="1:52" x14ac:dyDescent="0.2">
      <c r="A93" s="34"/>
      <c r="B93" s="37" t="str">
        <f t="shared" si="3"/>
        <v xml:space="preserve"> </v>
      </c>
      <c r="C93" s="39" t="s">
        <v>255</v>
      </c>
      <c r="D93" s="39" t="s">
        <v>255</v>
      </c>
      <c r="E93" s="39" t="s">
        <v>255</v>
      </c>
      <c r="F93" s="38" t="str">
        <f t="shared" si="4"/>
        <v/>
      </c>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row>
    <row r="94" spans="1:52" x14ac:dyDescent="0.2">
      <c r="A94" s="34"/>
      <c r="B94" s="37" t="str">
        <f t="shared" si="3"/>
        <v xml:space="preserve"> </v>
      </c>
      <c r="C94" s="39" t="s">
        <v>255</v>
      </c>
      <c r="D94" s="39" t="s">
        <v>255</v>
      </c>
      <c r="E94" s="39" t="s">
        <v>255</v>
      </c>
      <c r="F94" s="38" t="str">
        <f t="shared" si="4"/>
        <v/>
      </c>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row>
    <row r="95" spans="1:52" x14ac:dyDescent="0.2">
      <c r="A95" s="34"/>
      <c r="B95" s="37" t="str">
        <f t="shared" si="3"/>
        <v xml:space="preserve"> </v>
      </c>
      <c r="C95" s="39" t="s">
        <v>255</v>
      </c>
      <c r="D95" s="39" t="s">
        <v>255</v>
      </c>
      <c r="E95" s="39" t="s">
        <v>255</v>
      </c>
      <c r="F95" s="38" t="str">
        <f t="shared" si="4"/>
        <v/>
      </c>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row>
    <row r="96" spans="1:52" x14ac:dyDescent="0.2">
      <c r="A96" s="34"/>
      <c r="B96" s="37" t="str">
        <f t="shared" si="3"/>
        <v xml:space="preserve"> </v>
      </c>
      <c r="C96" s="39" t="s">
        <v>255</v>
      </c>
      <c r="D96" s="39" t="s">
        <v>255</v>
      </c>
      <c r="E96" s="39" t="s">
        <v>255</v>
      </c>
      <c r="F96" s="38" t="str">
        <f t="shared" si="4"/>
        <v/>
      </c>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row>
    <row r="97" spans="1:52" x14ac:dyDescent="0.2">
      <c r="A97" s="34"/>
      <c r="B97" s="37" t="str">
        <f t="shared" si="3"/>
        <v xml:space="preserve"> </v>
      </c>
      <c r="C97" s="39" t="s">
        <v>255</v>
      </c>
      <c r="D97" s="39" t="s">
        <v>255</v>
      </c>
      <c r="E97" s="39" t="s">
        <v>255</v>
      </c>
      <c r="F97" s="38" t="str">
        <f t="shared" si="4"/>
        <v/>
      </c>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row>
    <row r="98" spans="1:52" x14ac:dyDescent="0.2">
      <c r="A98" s="34"/>
      <c r="B98" s="37" t="str">
        <f t="shared" si="3"/>
        <v xml:space="preserve"> </v>
      </c>
      <c r="C98" s="39" t="s">
        <v>255</v>
      </c>
      <c r="D98" s="39" t="s">
        <v>255</v>
      </c>
      <c r="E98" s="39" t="s">
        <v>255</v>
      </c>
      <c r="F98" s="38" t="str">
        <f t="shared" si="4"/>
        <v/>
      </c>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row>
    <row r="99" spans="1:52" x14ac:dyDescent="0.2">
      <c r="A99" s="34"/>
      <c r="B99" s="37" t="str">
        <f t="shared" si="3"/>
        <v xml:space="preserve"> </v>
      </c>
      <c r="C99" s="39" t="s">
        <v>255</v>
      </c>
      <c r="D99" s="39" t="s">
        <v>255</v>
      </c>
      <c r="E99" s="39" t="s">
        <v>255</v>
      </c>
      <c r="F99" s="38" t="str">
        <f t="shared" si="4"/>
        <v/>
      </c>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row>
    <row r="100" spans="1:52" x14ac:dyDescent="0.2">
      <c r="A100" s="34"/>
      <c r="B100" s="37" t="str">
        <f t="shared" si="3"/>
        <v xml:space="preserve"> </v>
      </c>
      <c r="C100" s="39" t="s">
        <v>255</v>
      </c>
      <c r="D100" s="39" t="s">
        <v>255</v>
      </c>
      <c r="E100" s="39" t="s">
        <v>255</v>
      </c>
      <c r="F100" s="38" t="str">
        <f t="shared" si="4"/>
        <v/>
      </c>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row>
    <row r="101" spans="1:52" x14ac:dyDescent="0.2">
      <c r="A101" s="34"/>
      <c r="B101" s="37" t="str">
        <f t="shared" si="3"/>
        <v xml:space="preserve"> </v>
      </c>
      <c r="C101" s="39" t="s">
        <v>255</v>
      </c>
      <c r="D101" s="39" t="s">
        <v>255</v>
      </c>
      <c r="E101" s="39" t="s">
        <v>255</v>
      </c>
      <c r="F101" s="38" t="str">
        <f t="shared" si="4"/>
        <v/>
      </c>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row>
    <row r="102" spans="1:52" x14ac:dyDescent="0.2">
      <c r="A102" s="34"/>
      <c r="B102" s="37" t="str">
        <f t="shared" si="3"/>
        <v xml:space="preserve"> </v>
      </c>
      <c r="C102" s="39" t="s">
        <v>255</v>
      </c>
      <c r="D102" s="39" t="s">
        <v>255</v>
      </c>
      <c r="E102" s="39" t="s">
        <v>255</v>
      </c>
      <c r="F102" s="38" t="str">
        <f t="shared" si="4"/>
        <v/>
      </c>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row>
    <row r="103" spans="1:52" x14ac:dyDescent="0.2">
      <c r="A103" s="34"/>
      <c r="B103" s="37" t="str">
        <f t="shared" si="3"/>
        <v xml:space="preserve"> </v>
      </c>
      <c r="C103" s="39" t="s">
        <v>255</v>
      </c>
      <c r="D103" s="39" t="s">
        <v>255</v>
      </c>
      <c r="E103" s="39" t="s">
        <v>255</v>
      </c>
      <c r="F103" s="38" t="str">
        <f t="shared" si="4"/>
        <v/>
      </c>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row>
    <row r="104" spans="1:52" x14ac:dyDescent="0.2">
      <c r="A104" s="34"/>
      <c r="B104" s="37" t="str">
        <f t="shared" si="3"/>
        <v xml:space="preserve"> </v>
      </c>
      <c r="C104" s="39" t="s">
        <v>255</v>
      </c>
      <c r="D104" s="39" t="s">
        <v>255</v>
      </c>
      <c r="E104" s="39" t="s">
        <v>255</v>
      </c>
      <c r="F104" s="38" t="str">
        <f t="shared" si="4"/>
        <v/>
      </c>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row>
    <row r="105" spans="1:52" x14ac:dyDescent="0.2">
      <c r="A105" s="34"/>
      <c r="B105" s="37" t="str">
        <f t="shared" si="3"/>
        <v xml:space="preserve"> </v>
      </c>
      <c r="C105" s="39" t="s">
        <v>255</v>
      </c>
      <c r="D105" s="39" t="s">
        <v>255</v>
      </c>
      <c r="E105" s="39" t="s">
        <v>255</v>
      </c>
      <c r="F105" s="38" t="str">
        <f t="shared" si="4"/>
        <v/>
      </c>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row>
    <row r="106" spans="1:52" x14ac:dyDescent="0.2">
      <c r="A106" s="34"/>
      <c r="B106" s="37" t="str">
        <f t="shared" si="3"/>
        <v xml:space="preserve"> </v>
      </c>
      <c r="C106" s="39" t="s">
        <v>255</v>
      </c>
      <c r="D106" s="39" t="s">
        <v>255</v>
      </c>
      <c r="E106" s="39" t="s">
        <v>255</v>
      </c>
      <c r="F106" s="38" t="str">
        <f t="shared" si="4"/>
        <v/>
      </c>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row>
    <row r="107" spans="1:52" x14ac:dyDescent="0.2">
      <c r="A107" s="34"/>
      <c r="B107" s="37" t="str">
        <f t="shared" si="3"/>
        <v xml:space="preserve"> </v>
      </c>
      <c r="C107" s="39" t="s">
        <v>255</v>
      </c>
      <c r="D107" s="39" t="s">
        <v>255</v>
      </c>
      <c r="E107" s="39" t="s">
        <v>255</v>
      </c>
      <c r="F107" s="38" t="str">
        <f t="shared" si="4"/>
        <v/>
      </c>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row>
    <row r="108" spans="1:52" x14ac:dyDescent="0.2">
      <c r="A108" s="34"/>
      <c r="B108" s="37" t="str">
        <f t="shared" si="3"/>
        <v xml:space="preserve"> </v>
      </c>
      <c r="C108" s="39" t="s">
        <v>255</v>
      </c>
      <c r="D108" s="39" t="s">
        <v>255</v>
      </c>
      <c r="E108" s="39" t="s">
        <v>255</v>
      </c>
      <c r="F108" s="38" t="str">
        <f t="shared" si="4"/>
        <v/>
      </c>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row>
    <row r="109" spans="1:52" x14ac:dyDescent="0.2">
      <c r="A109" s="34"/>
      <c r="B109" s="37" t="str">
        <f t="shared" si="3"/>
        <v xml:space="preserve"> </v>
      </c>
      <c r="C109" s="39" t="s">
        <v>255</v>
      </c>
      <c r="D109" s="39" t="s">
        <v>255</v>
      </c>
      <c r="E109" s="39" t="s">
        <v>255</v>
      </c>
      <c r="F109" s="38" t="str">
        <f t="shared" si="4"/>
        <v/>
      </c>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row>
    <row r="110" spans="1:52" x14ac:dyDescent="0.2">
      <c r="A110" s="34"/>
      <c r="B110" s="37" t="str">
        <f t="shared" si="3"/>
        <v xml:space="preserve"> </v>
      </c>
      <c r="C110" s="39" t="s">
        <v>255</v>
      </c>
      <c r="D110" s="39" t="s">
        <v>255</v>
      </c>
      <c r="E110" s="39" t="s">
        <v>255</v>
      </c>
      <c r="F110" s="38" t="str">
        <f t="shared" si="4"/>
        <v/>
      </c>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row>
    <row r="111" spans="1:52" x14ac:dyDescent="0.2">
      <c r="A111" s="34"/>
      <c r="B111" s="37" t="str">
        <f t="shared" si="3"/>
        <v xml:space="preserve"> </v>
      </c>
      <c r="C111" s="39" t="s">
        <v>255</v>
      </c>
      <c r="D111" s="39" t="s">
        <v>255</v>
      </c>
      <c r="E111" s="39" t="s">
        <v>255</v>
      </c>
      <c r="F111" s="38" t="str">
        <f t="shared" si="4"/>
        <v/>
      </c>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row>
    <row r="112" spans="1:52" x14ac:dyDescent="0.2">
      <c r="A112" s="34"/>
      <c r="B112" s="37" t="str">
        <f t="shared" si="3"/>
        <v xml:space="preserve"> </v>
      </c>
      <c r="C112" s="39" t="s">
        <v>255</v>
      </c>
      <c r="D112" s="39" t="s">
        <v>255</v>
      </c>
      <c r="E112" s="39" t="s">
        <v>255</v>
      </c>
      <c r="F112" s="38" t="str">
        <f t="shared" si="4"/>
        <v/>
      </c>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row>
    <row r="113" spans="1:52" x14ac:dyDescent="0.2">
      <c r="A113" s="34"/>
      <c r="B113" s="37" t="str">
        <f t="shared" si="3"/>
        <v xml:space="preserve"> </v>
      </c>
      <c r="C113" s="39" t="s">
        <v>255</v>
      </c>
      <c r="D113" s="39" t="s">
        <v>255</v>
      </c>
      <c r="E113" s="39" t="s">
        <v>255</v>
      </c>
      <c r="F113" s="38" t="str">
        <f t="shared" si="4"/>
        <v/>
      </c>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row>
    <row r="114" spans="1:52" x14ac:dyDescent="0.2">
      <c r="A114" s="34"/>
      <c r="B114" s="37" t="str">
        <f t="shared" si="3"/>
        <v xml:space="preserve"> </v>
      </c>
      <c r="C114" s="39" t="s">
        <v>255</v>
      </c>
      <c r="D114" s="39" t="s">
        <v>255</v>
      </c>
      <c r="E114" s="39" t="s">
        <v>255</v>
      </c>
      <c r="F114" s="38" t="str">
        <f t="shared" si="4"/>
        <v/>
      </c>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row>
    <row r="115" spans="1:52" x14ac:dyDescent="0.2">
      <c r="A115" s="34"/>
      <c r="B115" s="37" t="str">
        <f t="shared" si="3"/>
        <v xml:space="preserve"> </v>
      </c>
      <c r="C115" s="39" t="s">
        <v>255</v>
      </c>
      <c r="D115" s="39" t="s">
        <v>255</v>
      </c>
      <c r="E115" s="39" t="s">
        <v>255</v>
      </c>
      <c r="F115" s="38" t="str">
        <f t="shared" si="4"/>
        <v/>
      </c>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row>
    <row r="116" spans="1:52" x14ac:dyDescent="0.2">
      <c r="A116" s="34"/>
      <c r="B116" s="37" t="str">
        <f t="shared" si="3"/>
        <v xml:space="preserve"> </v>
      </c>
      <c r="C116" s="39" t="s">
        <v>255</v>
      </c>
      <c r="D116" s="39" t="s">
        <v>255</v>
      </c>
      <c r="E116" s="39" t="s">
        <v>255</v>
      </c>
      <c r="F116" s="38" t="str">
        <f t="shared" si="4"/>
        <v/>
      </c>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row>
    <row r="117" spans="1:52" x14ac:dyDescent="0.2">
      <c r="A117" s="34"/>
      <c r="B117" s="37" t="str">
        <f t="shared" si="3"/>
        <v xml:space="preserve"> </v>
      </c>
      <c r="C117" s="39" t="s">
        <v>255</v>
      </c>
      <c r="D117" s="39" t="s">
        <v>255</v>
      </c>
      <c r="E117" s="39" t="s">
        <v>255</v>
      </c>
      <c r="F117" s="38" t="str">
        <f t="shared" si="4"/>
        <v/>
      </c>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row>
    <row r="118" spans="1:52" x14ac:dyDescent="0.2">
      <c r="A118" s="34"/>
      <c r="B118" s="37" t="str">
        <f t="shared" si="3"/>
        <v xml:space="preserve"> </v>
      </c>
      <c r="C118" s="39" t="s">
        <v>255</v>
      </c>
      <c r="D118" s="39" t="s">
        <v>255</v>
      </c>
      <c r="E118" s="39" t="s">
        <v>255</v>
      </c>
      <c r="F118" s="38" t="str">
        <f t="shared" si="4"/>
        <v/>
      </c>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row>
    <row r="119" spans="1:52" x14ac:dyDescent="0.2">
      <c r="A119" s="34"/>
      <c r="B119" s="37" t="str">
        <f t="shared" si="3"/>
        <v xml:space="preserve"> </v>
      </c>
      <c r="C119" s="39" t="s">
        <v>255</v>
      </c>
      <c r="D119" s="39" t="s">
        <v>255</v>
      </c>
      <c r="E119" s="39" t="s">
        <v>255</v>
      </c>
      <c r="F119" s="38" t="str">
        <f t="shared" si="4"/>
        <v/>
      </c>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row>
    <row r="120" spans="1:52" x14ac:dyDescent="0.2">
      <c r="A120" s="34"/>
      <c r="B120" s="37" t="str">
        <f t="shared" si="3"/>
        <v xml:space="preserve"> </v>
      </c>
      <c r="C120" s="39" t="s">
        <v>255</v>
      </c>
      <c r="D120" s="39" t="s">
        <v>255</v>
      </c>
      <c r="E120" s="39" t="s">
        <v>255</v>
      </c>
      <c r="F120" s="38" t="str">
        <f t="shared" si="4"/>
        <v/>
      </c>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row>
    <row r="121" spans="1:52" x14ac:dyDescent="0.2">
      <c r="A121" s="34"/>
      <c r="B121" s="37" t="str">
        <f t="shared" si="3"/>
        <v xml:space="preserve"> </v>
      </c>
      <c r="C121" s="39" t="s">
        <v>255</v>
      </c>
      <c r="D121" s="39" t="s">
        <v>255</v>
      </c>
      <c r="E121" s="39" t="s">
        <v>255</v>
      </c>
      <c r="F121" s="38" t="str">
        <f t="shared" si="4"/>
        <v/>
      </c>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row>
    <row r="122" spans="1:52" x14ac:dyDescent="0.2">
      <c r="A122" s="34"/>
      <c r="B122" s="37" t="str">
        <f t="shared" si="3"/>
        <v xml:space="preserve"> </v>
      </c>
      <c r="C122" s="39" t="s">
        <v>255</v>
      </c>
      <c r="D122" s="39" t="s">
        <v>255</v>
      </c>
      <c r="E122" s="39" t="s">
        <v>255</v>
      </c>
      <c r="F122" s="38" t="str">
        <f t="shared" si="4"/>
        <v/>
      </c>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row>
    <row r="123" spans="1:52" x14ac:dyDescent="0.2">
      <c r="A123" s="34"/>
      <c r="B123" s="37" t="str">
        <f t="shared" si="3"/>
        <v xml:space="preserve"> </v>
      </c>
      <c r="C123" s="39" t="s">
        <v>255</v>
      </c>
      <c r="D123" s="39" t="s">
        <v>255</v>
      </c>
      <c r="E123" s="39" t="s">
        <v>255</v>
      </c>
      <c r="F123" s="38" t="str">
        <f t="shared" si="4"/>
        <v/>
      </c>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row>
    <row r="124" spans="1:52" x14ac:dyDescent="0.2">
      <c r="A124" s="34"/>
      <c r="B124" s="37" t="str">
        <f t="shared" si="3"/>
        <v xml:space="preserve"> </v>
      </c>
      <c r="C124" s="39" t="s">
        <v>255</v>
      </c>
      <c r="D124" s="39" t="s">
        <v>255</v>
      </c>
      <c r="E124" s="39" t="s">
        <v>255</v>
      </c>
      <c r="F124" s="38" t="str">
        <f t="shared" si="4"/>
        <v/>
      </c>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row>
    <row r="125" spans="1:52" x14ac:dyDescent="0.2">
      <c r="A125" s="34"/>
      <c r="B125" s="37" t="str">
        <f t="shared" si="3"/>
        <v xml:space="preserve"> </v>
      </c>
      <c r="C125" s="39" t="s">
        <v>255</v>
      </c>
      <c r="D125" s="39" t="s">
        <v>255</v>
      </c>
      <c r="E125" s="39" t="s">
        <v>255</v>
      </c>
      <c r="F125" s="38" t="str">
        <f t="shared" si="4"/>
        <v/>
      </c>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row>
    <row r="126" spans="1:52" x14ac:dyDescent="0.2">
      <c r="A126" s="34"/>
      <c r="B126" s="37" t="str">
        <f t="shared" si="3"/>
        <v xml:space="preserve"> </v>
      </c>
      <c r="C126" s="39" t="s">
        <v>255</v>
      </c>
      <c r="D126" s="39" t="s">
        <v>255</v>
      </c>
      <c r="E126" s="39" t="s">
        <v>255</v>
      </c>
      <c r="F126" s="38" t="str">
        <f t="shared" si="4"/>
        <v/>
      </c>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row>
    <row r="127" spans="1:52" x14ac:dyDescent="0.2">
      <c r="A127" s="34"/>
      <c r="B127" s="37" t="str">
        <f t="shared" si="3"/>
        <v xml:space="preserve"> </v>
      </c>
      <c r="C127" s="39" t="s">
        <v>255</v>
      </c>
      <c r="D127" s="39" t="s">
        <v>255</v>
      </c>
      <c r="E127" s="39" t="s">
        <v>255</v>
      </c>
      <c r="F127" s="38" t="str">
        <f t="shared" si="4"/>
        <v/>
      </c>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row>
    <row r="128" spans="1:52" x14ac:dyDescent="0.2">
      <c r="A128" s="34"/>
      <c r="B128" s="37" t="str">
        <f t="shared" si="3"/>
        <v xml:space="preserve"> </v>
      </c>
      <c r="C128" s="39" t="s">
        <v>255</v>
      </c>
      <c r="D128" s="39" t="s">
        <v>255</v>
      </c>
      <c r="E128" s="39" t="s">
        <v>255</v>
      </c>
      <c r="F128" s="38" t="str">
        <f t="shared" si="4"/>
        <v/>
      </c>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row>
    <row r="129" spans="1:52" x14ac:dyDescent="0.2">
      <c r="A129" s="34"/>
      <c r="B129" s="37" t="str">
        <f t="shared" si="3"/>
        <v xml:space="preserve"> </v>
      </c>
      <c r="C129" s="39" t="s">
        <v>255</v>
      </c>
      <c r="D129" s="39" t="s">
        <v>255</v>
      </c>
      <c r="E129" s="39" t="s">
        <v>255</v>
      </c>
      <c r="F129" s="38" t="str">
        <f t="shared" si="4"/>
        <v/>
      </c>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row>
    <row r="130" spans="1:52" x14ac:dyDescent="0.2">
      <c r="A130" s="34"/>
      <c r="B130" s="37" t="str">
        <f t="shared" si="3"/>
        <v xml:space="preserve"> </v>
      </c>
      <c r="C130" s="39" t="s">
        <v>255</v>
      </c>
      <c r="D130" s="39" t="s">
        <v>255</v>
      </c>
      <c r="E130" s="39" t="s">
        <v>255</v>
      </c>
      <c r="F130" s="38" t="str">
        <f t="shared" si="4"/>
        <v/>
      </c>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row>
    <row r="131" spans="1:52" x14ac:dyDescent="0.2">
      <c r="A131" s="34"/>
      <c r="B131" s="37" t="str">
        <f t="shared" si="3"/>
        <v xml:space="preserve"> </v>
      </c>
      <c r="C131" s="39" t="s">
        <v>255</v>
      </c>
      <c r="D131" s="39" t="s">
        <v>255</v>
      </c>
      <c r="E131" s="39" t="s">
        <v>255</v>
      </c>
      <c r="F131" s="38" t="str">
        <f t="shared" si="4"/>
        <v/>
      </c>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row>
    <row r="132" spans="1:52" x14ac:dyDescent="0.2">
      <c r="A132" s="34"/>
      <c r="B132" s="37" t="str">
        <f t="shared" si="3"/>
        <v xml:space="preserve"> </v>
      </c>
      <c r="C132" s="39" t="s">
        <v>255</v>
      </c>
      <c r="D132" s="39" t="s">
        <v>255</v>
      </c>
      <c r="E132" s="39" t="s">
        <v>255</v>
      </c>
      <c r="F132" s="38" t="str">
        <f t="shared" si="4"/>
        <v/>
      </c>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row>
    <row r="133" spans="1:52" x14ac:dyDescent="0.2">
      <c r="A133" s="34"/>
      <c r="B133" s="37" t="str">
        <f t="shared" si="3"/>
        <v xml:space="preserve"> </v>
      </c>
      <c r="C133" s="39" t="s">
        <v>255</v>
      </c>
      <c r="D133" s="39" t="s">
        <v>255</v>
      </c>
      <c r="E133" s="39" t="s">
        <v>255</v>
      </c>
      <c r="F133" s="38" t="str">
        <f t="shared" si="4"/>
        <v/>
      </c>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row>
    <row r="134" spans="1:52" x14ac:dyDescent="0.2">
      <c r="A134" s="34"/>
      <c r="B134" s="37" t="str">
        <f t="shared" si="3"/>
        <v xml:space="preserve"> </v>
      </c>
      <c r="C134" s="39" t="s">
        <v>255</v>
      </c>
      <c r="D134" s="39" t="s">
        <v>255</v>
      </c>
      <c r="E134" s="39" t="s">
        <v>255</v>
      </c>
      <c r="F134" s="38" t="str">
        <f t="shared" si="4"/>
        <v/>
      </c>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row>
    <row r="135" spans="1:52" x14ac:dyDescent="0.2">
      <c r="A135" s="34"/>
      <c r="B135" s="37" t="str">
        <f t="shared" si="3"/>
        <v xml:space="preserve"> </v>
      </c>
      <c r="C135" s="39" t="s">
        <v>255</v>
      </c>
      <c r="D135" s="39" t="s">
        <v>255</v>
      </c>
      <c r="E135" s="39" t="s">
        <v>255</v>
      </c>
      <c r="F135" s="38" t="str">
        <f t="shared" si="4"/>
        <v/>
      </c>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row>
    <row r="136" spans="1:52" x14ac:dyDescent="0.2">
      <c r="A136" s="34"/>
      <c r="B136" s="37" t="str">
        <f t="shared" si="3"/>
        <v xml:space="preserve"> </v>
      </c>
      <c r="C136" s="39" t="s">
        <v>255</v>
      </c>
      <c r="D136" s="39" t="s">
        <v>255</v>
      </c>
      <c r="E136" s="39" t="s">
        <v>255</v>
      </c>
      <c r="F136" s="38" t="str">
        <f t="shared" si="4"/>
        <v/>
      </c>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row>
    <row r="137" spans="1:52" x14ac:dyDescent="0.2">
      <c r="A137" s="34"/>
      <c r="B137" s="37" t="str">
        <f t="shared" si="3"/>
        <v xml:space="preserve"> </v>
      </c>
      <c r="C137" s="39" t="s">
        <v>255</v>
      </c>
      <c r="D137" s="39" t="s">
        <v>255</v>
      </c>
      <c r="E137" s="39" t="s">
        <v>255</v>
      </c>
      <c r="F137" s="38" t="str">
        <f t="shared" si="4"/>
        <v/>
      </c>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row>
    <row r="138" spans="1:52" x14ac:dyDescent="0.2">
      <c r="A138" s="34"/>
      <c r="B138" s="37" t="str">
        <f t="shared" si="3"/>
        <v xml:space="preserve"> </v>
      </c>
      <c r="C138" s="39" t="s">
        <v>255</v>
      </c>
      <c r="D138" s="39" t="s">
        <v>255</v>
      </c>
      <c r="E138" s="39" t="s">
        <v>255</v>
      </c>
      <c r="F138" s="38" t="str">
        <f t="shared" si="4"/>
        <v/>
      </c>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row>
    <row r="139" spans="1:52" x14ac:dyDescent="0.2">
      <c r="A139" s="34"/>
      <c r="B139" s="37" t="str">
        <f t="shared" si="3"/>
        <v xml:space="preserve"> </v>
      </c>
      <c r="C139" s="39" t="s">
        <v>255</v>
      </c>
      <c r="D139" s="39" t="s">
        <v>255</v>
      </c>
      <c r="E139" s="39" t="s">
        <v>255</v>
      </c>
      <c r="F139" s="38" t="str">
        <f t="shared" si="4"/>
        <v/>
      </c>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row>
    <row r="140" spans="1:52" x14ac:dyDescent="0.2">
      <c r="A140" s="34"/>
      <c r="B140" s="37" t="str">
        <f t="shared" si="3"/>
        <v xml:space="preserve"> </v>
      </c>
      <c r="C140" s="39" t="s">
        <v>255</v>
      </c>
      <c r="D140" s="39" t="s">
        <v>255</v>
      </c>
      <c r="E140" s="39" t="s">
        <v>255</v>
      </c>
      <c r="F140" s="38" t="str">
        <f t="shared" si="4"/>
        <v/>
      </c>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row>
    <row r="141" spans="1:52" x14ac:dyDescent="0.2">
      <c r="A141" s="34"/>
      <c r="B141" s="37" t="str">
        <f t="shared" si="3"/>
        <v xml:space="preserve"> </v>
      </c>
      <c r="C141" s="39" t="s">
        <v>255</v>
      </c>
      <c r="D141" s="39" t="s">
        <v>255</v>
      </c>
      <c r="E141" s="39" t="s">
        <v>255</v>
      </c>
      <c r="F141" s="38" t="str">
        <f t="shared" si="4"/>
        <v/>
      </c>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row>
    <row r="142" spans="1:52" x14ac:dyDescent="0.2">
      <c r="A142" s="34"/>
      <c r="B142" s="37" t="str">
        <f t="shared" si="3"/>
        <v xml:space="preserve"> </v>
      </c>
      <c r="C142" s="39" t="s">
        <v>255</v>
      </c>
      <c r="D142" s="39" t="s">
        <v>255</v>
      </c>
      <c r="E142" s="39" t="s">
        <v>255</v>
      </c>
      <c r="F142" s="38" t="str">
        <f t="shared" si="4"/>
        <v/>
      </c>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row>
    <row r="143" spans="1:52" x14ac:dyDescent="0.2">
      <c r="A143" s="34"/>
      <c r="B143" s="37" t="str">
        <f t="shared" si="3"/>
        <v xml:space="preserve"> </v>
      </c>
      <c r="C143" s="39" t="s">
        <v>255</v>
      </c>
      <c r="D143" s="39" t="s">
        <v>255</v>
      </c>
      <c r="E143" s="39" t="s">
        <v>255</v>
      </c>
      <c r="F143" s="38" t="str">
        <f t="shared" si="4"/>
        <v/>
      </c>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row>
    <row r="144" spans="1:52" x14ac:dyDescent="0.2">
      <c r="A144" s="34"/>
      <c r="B144" s="37" t="str">
        <f t="shared" si="3"/>
        <v xml:space="preserve"> </v>
      </c>
      <c r="C144" s="39" t="s">
        <v>255</v>
      </c>
      <c r="D144" s="39" t="s">
        <v>255</v>
      </c>
      <c r="E144" s="39" t="s">
        <v>255</v>
      </c>
      <c r="F144" s="38" t="str">
        <f t="shared" si="4"/>
        <v/>
      </c>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row>
    <row r="145" spans="1:52" x14ac:dyDescent="0.2">
      <c r="A145" s="34"/>
      <c r="B145" s="37" t="str">
        <f t="shared" si="3"/>
        <v xml:space="preserve"> </v>
      </c>
      <c r="C145" s="39" t="s">
        <v>255</v>
      </c>
      <c r="D145" s="39" t="s">
        <v>255</v>
      </c>
      <c r="E145" s="39" t="s">
        <v>255</v>
      </c>
      <c r="F145" s="38" t="str">
        <f t="shared" si="4"/>
        <v/>
      </c>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row>
    <row r="146" spans="1:52" x14ac:dyDescent="0.2">
      <c r="A146" s="34"/>
      <c r="B146" s="37" t="str">
        <f t="shared" ref="B146:B209" si="5">IF(LEFT(C146, 2)="20", "W" &amp; C146, C146)</f>
        <v xml:space="preserve"> </v>
      </c>
      <c r="C146" s="39" t="s">
        <v>255</v>
      </c>
      <c r="D146" s="39" t="s">
        <v>255</v>
      </c>
      <c r="E146" s="39" t="s">
        <v>255</v>
      </c>
      <c r="F146" s="38" t="str">
        <f t="shared" ref="F146:F209" si="6">IF(C146= " ", "", IFERROR(VLOOKUP(B146, ExtMarksRHS, 4, FALSE), "X"))</f>
        <v/>
      </c>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row>
    <row r="147" spans="1:52" x14ac:dyDescent="0.2">
      <c r="A147" s="34"/>
      <c r="B147" s="37" t="str">
        <f t="shared" si="5"/>
        <v xml:space="preserve"> </v>
      </c>
      <c r="C147" s="39" t="s">
        <v>255</v>
      </c>
      <c r="D147" s="39" t="s">
        <v>255</v>
      </c>
      <c r="E147" s="39" t="s">
        <v>255</v>
      </c>
      <c r="F147" s="38" t="str">
        <f t="shared" si="6"/>
        <v/>
      </c>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row>
    <row r="148" spans="1:52" x14ac:dyDescent="0.2">
      <c r="A148" s="34"/>
      <c r="B148" s="37" t="str">
        <f t="shared" si="5"/>
        <v xml:space="preserve"> </v>
      </c>
      <c r="C148" s="39" t="s">
        <v>255</v>
      </c>
      <c r="D148" s="39" t="s">
        <v>255</v>
      </c>
      <c r="E148" s="39" t="s">
        <v>255</v>
      </c>
      <c r="F148" s="38" t="str">
        <f t="shared" si="6"/>
        <v/>
      </c>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row>
    <row r="149" spans="1:52" x14ac:dyDescent="0.2">
      <c r="A149" s="34"/>
      <c r="B149" s="37" t="str">
        <f t="shared" si="5"/>
        <v xml:space="preserve"> </v>
      </c>
      <c r="C149" s="39" t="s">
        <v>255</v>
      </c>
      <c r="D149" s="39" t="s">
        <v>255</v>
      </c>
      <c r="E149" s="39" t="s">
        <v>255</v>
      </c>
      <c r="F149" s="38" t="str">
        <f t="shared" si="6"/>
        <v/>
      </c>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row>
    <row r="150" spans="1:52" x14ac:dyDescent="0.2">
      <c r="A150" s="34"/>
      <c r="B150" s="37" t="str">
        <f t="shared" si="5"/>
        <v xml:space="preserve"> </v>
      </c>
      <c r="C150" s="39" t="s">
        <v>255</v>
      </c>
      <c r="D150" s="39" t="s">
        <v>255</v>
      </c>
      <c r="E150" s="39" t="s">
        <v>255</v>
      </c>
      <c r="F150" s="38" t="str">
        <f t="shared" si="6"/>
        <v/>
      </c>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row>
    <row r="151" spans="1:52" x14ac:dyDescent="0.2">
      <c r="A151" s="34"/>
      <c r="B151" s="37" t="str">
        <f t="shared" si="5"/>
        <v xml:space="preserve"> </v>
      </c>
      <c r="C151" s="39" t="s">
        <v>255</v>
      </c>
      <c r="D151" s="39" t="s">
        <v>255</v>
      </c>
      <c r="E151" s="39" t="s">
        <v>255</v>
      </c>
      <c r="F151" s="38" t="str">
        <f t="shared" si="6"/>
        <v/>
      </c>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row>
    <row r="152" spans="1:52" x14ac:dyDescent="0.2">
      <c r="A152" s="34"/>
      <c r="B152" s="37" t="str">
        <f t="shared" si="5"/>
        <v xml:space="preserve"> </v>
      </c>
      <c r="C152" s="39" t="s">
        <v>255</v>
      </c>
      <c r="D152" s="39" t="s">
        <v>255</v>
      </c>
      <c r="E152" s="39" t="s">
        <v>255</v>
      </c>
      <c r="F152" s="38" t="str">
        <f t="shared" si="6"/>
        <v/>
      </c>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row>
    <row r="153" spans="1:52" x14ac:dyDescent="0.2">
      <c r="A153" s="34"/>
      <c r="B153" s="37" t="str">
        <f t="shared" si="5"/>
        <v xml:space="preserve"> </v>
      </c>
      <c r="C153" s="39" t="s">
        <v>255</v>
      </c>
      <c r="D153" s="39" t="s">
        <v>255</v>
      </c>
      <c r="E153" s="39" t="s">
        <v>255</v>
      </c>
      <c r="F153" s="38" t="str">
        <f t="shared" si="6"/>
        <v/>
      </c>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row>
    <row r="154" spans="1:52" x14ac:dyDescent="0.2">
      <c r="A154" s="34"/>
      <c r="B154" s="37" t="str">
        <f t="shared" si="5"/>
        <v xml:space="preserve"> </v>
      </c>
      <c r="C154" s="39" t="s">
        <v>255</v>
      </c>
      <c r="D154" s="39" t="s">
        <v>255</v>
      </c>
      <c r="E154" s="39" t="s">
        <v>255</v>
      </c>
      <c r="F154" s="38" t="str">
        <f t="shared" si="6"/>
        <v/>
      </c>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row>
    <row r="155" spans="1:52" x14ac:dyDescent="0.2">
      <c r="A155" s="34"/>
      <c r="B155" s="37" t="str">
        <f t="shared" si="5"/>
        <v xml:space="preserve"> </v>
      </c>
      <c r="C155" s="39" t="s">
        <v>255</v>
      </c>
      <c r="D155" s="39" t="s">
        <v>255</v>
      </c>
      <c r="E155" s="39" t="s">
        <v>255</v>
      </c>
      <c r="F155" s="38" t="str">
        <f t="shared" si="6"/>
        <v/>
      </c>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row>
    <row r="156" spans="1:52" x14ac:dyDescent="0.2">
      <c r="A156" s="34"/>
      <c r="B156" s="37" t="str">
        <f t="shared" si="5"/>
        <v xml:space="preserve"> </v>
      </c>
      <c r="C156" s="39" t="s">
        <v>255</v>
      </c>
      <c r="D156" s="39" t="s">
        <v>255</v>
      </c>
      <c r="E156" s="39" t="s">
        <v>255</v>
      </c>
      <c r="F156" s="38" t="str">
        <f t="shared" si="6"/>
        <v/>
      </c>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row>
    <row r="157" spans="1:52" x14ac:dyDescent="0.2">
      <c r="A157" s="34"/>
      <c r="B157" s="37" t="str">
        <f t="shared" si="5"/>
        <v xml:space="preserve"> </v>
      </c>
      <c r="C157" s="39" t="s">
        <v>255</v>
      </c>
      <c r="D157" s="39" t="s">
        <v>255</v>
      </c>
      <c r="E157" s="39" t="s">
        <v>255</v>
      </c>
      <c r="F157" s="38" t="str">
        <f t="shared" si="6"/>
        <v/>
      </c>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row>
    <row r="158" spans="1:52" x14ac:dyDescent="0.2">
      <c r="A158" s="34"/>
      <c r="B158" s="37" t="str">
        <f t="shared" si="5"/>
        <v xml:space="preserve"> </v>
      </c>
      <c r="C158" s="39" t="s">
        <v>255</v>
      </c>
      <c r="D158" s="39" t="s">
        <v>255</v>
      </c>
      <c r="E158" s="39" t="s">
        <v>255</v>
      </c>
      <c r="F158" s="38" t="str">
        <f t="shared" si="6"/>
        <v/>
      </c>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row>
    <row r="159" spans="1:52" x14ac:dyDescent="0.2">
      <c r="A159" s="34"/>
      <c r="B159" s="37" t="str">
        <f t="shared" si="5"/>
        <v xml:space="preserve"> </v>
      </c>
      <c r="C159" s="39" t="s">
        <v>255</v>
      </c>
      <c r="D159" s="39" t="s">
        <v>255</v>
      </c>
      <c r="E159" s="39" t="s">
        <v>255</v>
      </c>
      <c r="F159" s="38" t="str">
        <f t="shared" si="6"/>
        <v/>
      </c>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row>
    <row r="160" spans="1:52" x14ac:dyDescent="0.2">
      <c r="A160" s="34"/>
      <c r="B160" s="37" t="str">
        <f t="shared" si="5"/>
        <v xml:space="preserve"> </v>
      </c>
      <c r="C160" s="39" t="s">
        <v>255</v>
      </c>
      <c r="D160" s="39" t="s">
        <v>255</v>
      </c>
      <c r="E160" s="39" t="s">
        <v>255</v>
      </c>
      <c r="F160" s="38" t="str">
        <f t="shared" si="6"/>
        <v/>
      </c>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row>
    <row r="161" spans="1:52" x14ac:dyDescent="0.2">
      <c r="A161" s="34"/>
      <c r="B161" s="37" t="str">
        <f t="shared" si="5"/>
        <v xml:space="preserve"> </v>
      </c>
      <c r="C161" s="39" t="s">
        <v>255</v>
      </c>
      <c r="D161" s="39" t="s">
        <v>255</v>
      </c>
      <c r="E161" s="39" t="s">
        <v>255</v>
      </c>
      <c r="F161" s="38" t="str">
        <f t="shared" si="6"/>
        <v/>
      </c>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row>
    <row r="162" spans="1:52" x14ac:dyDescent="0.2">
      <c r="A162" s="34"/>
      <c r="B162" s="37" t="str">
        <f t="shared" si="5"/>
        <v xml:space="preserve"> </v>
      </c>
      <c r="C162" s="39" t="s">
        <v>255</v>
      </c>
      <c r="D162" s="39" t="s">
        <v>255</v>
      </c>
      <c r="E162" s="39" t="s">
        <v>255</v>
      </c>
      <c r="F162" s="38" t="str">
        <f t="shared" si="6"/>
        <v/>
      </c>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row>
    <row r="163" spans="1:52" x14ac:dyDescent="0.2">
      <c r="A163" s="34"/>
      <c r="B163" s="37" t="str">
        <f t="shared" si="5"/>
        <v xml:space="preserve"> </v>
      </c>
      <c r="C163" s="39" t="s">
        <v>255</v>
      </c>
      <c r="D163" s="39" t="s">
        <v>255</v>
      </c>
      <c r="E163" s="39" t="s">
        <v>255</v>
      </c>
      <c r="F163" s="38" t="str">
        <f t="shared" si="6"/>
        <v/>
      </c>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row>
    <row r="164" spans="1:52" x14ac:dyDescent="0.2">
      <c r="A164" s="34"/>
      <c r="B164" s="37" t="str">
        <f t="shared" si="5"/>
        <v xml:space="preserve"> </v>
      </c>
      <c r="C164" s="39" t="s">
        <v>255</v>
      </c>
      <c r="D164" s="39" t="s">
        <v>255</v>
      </c>
      <c r="E164" s="39" t="s">
        <v>255</v>
      </c>
      <c r="F164" s="38" t="str">
        <f t="shared" si="6"/>
        <v/>
      </c>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row>
    <row r="165" spans="1:52" x14ac:dyDescent="0.2">
      <c r="A165" s="34"/>
      <c r="B165" s="37" t="str">
        <f t="shared" si="5"/>
        <v xml:space="preserve"> </v>
      </c>
      <c r="C165" s="39" t="s">
        <v>255</v>
      </c>
      <c r="D165" s="39" t="s">
        <v>255</v>
      </c>
      <c r="E165" s="39" t="s">
        <v>255</v>
      </c>
      <c r="F165" s="38" t="str">
        <f t="shared" si="6"/>
        <v/>
      </c>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row>
    <row r="166" spans="1:52" x14ac:dyDescent="0.2">
      <c r="A166" s="34"/>
      <c r="B166" s="37" t="str">
        <f t="shared" si="5"/>
        <v xml:space="preserve"> </v>
      </c>
      <c r="C166" s="39" t="s">
        <v>255</v>
      </c>
      <c r="D166" s="39" t="s">
        <v>255</v>
      </c>
      <c r="E166" s="39" t="s">
        <v>255</v>
      </c>
      <c r="F166" s="38" t="str">
        <f t="shared" si="6"/>
        <v/>
      </c>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row>
    <row r="167" spans="1:52" x14ac:dyDescent="0.2">
      <c r="A167" s="34"/>
      <c r="B167" s="37" t="str">
        <f t="shared" si="5"/>
        <v xml:space="preserve"> </v>
      </c>
      <c r="C167" s="39" t="s">
        <v>255</v>
      </c>
      <c r="D167" s="39" t="s">
        <v>255</v>
      </c>
      <c r="E167" s="39" t="s">
        <v>255</v>
      </c>
      <c r="F167" s="38" t="str">
        <f t="shared" si="6"/>
        <v/>
      </c>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row>
    <row r="168" spans="1:52" x14ac:dyDescent="0.2">
      <c r="A168" s="34"/>
      <c r="B168" s="37" t="str">
        <f t="shared" si="5"/>
        <v xml:space="preserve"> </v>
      </c>
      <c r="C168" s="39" t="s">
        <v>255</v>
      </c>
      <c r="D168" s="39" t="s">
        <v>255</v>
      </c>
      <c r="E168" s="39" t="s">
        <v>255</v>
      </c>
      <c r="F168" s="38" t="str">
        <f t="shared" si="6"/>
        <v/>
      </c>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row>
    <row r="169" spans="1:52" x14ac:dyDescent="0.2">
      <c r="A169" s="34"/>
      <c r="B169" s="37" t="str">
        <f t="shared" si="5"/>
        <v xml:space="preserve"> </v>
      </c>
      <c r="C169" s="39" t="s">
        <v>255</v>
      </c>
      <c r="D169" s="39" t="s">
        <v>255</v>
      </c>
      <c r="E169" s="39" t="s">
        <v>255</v>
      </c>
      <c r="F169" s="38" t="str">
        <f t="shared" si="6"/>
        <v/>
      </c>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row>
    <row r="170" spans="1:52" x14ac:dyDescent="0.2">
      <c r="A170" s="34"/>
      <c r="B170" s="37" t="str">
        <f t="shared" si="5"/>
        <v xml:space="preserve"> </v>
      </c>
      <c r="C170" s="39" t="s">
        <v>255</v>
      </c>
      <c r="D170" s="39" t="s">
        <v>255</v>
      </c>
      <c r="E170" s="39" t="s">
        <v>255</v>
      </c>
      <c r="F170" s="38" t="str">
        <f t="shared" si="6"/>
        <v/>
      </c>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row>
    <row r="171" spans="1:52" x14ac:dyDescent="0.2">
      <c r="A171" s="34"/>
      <c r="B171" s="37" t="str">
        <f t="shared" si="5"/>
        <v xml:space="preserve"> </v>
      </c>
      <c r="C171" s="39" t="s">
        <v>255</v>
      </c>
      <c r="D171" s="39" t="s">
        <v>255</v>
      </c>
      <c r="E171" s="39" t="s">
        <v>255</v>
      </c>
      <c r="F171" s="38" t="str">
        <f t="shared" si="6"/>
        <v/>
      </c>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row>
    <row r="172" spans="1:52" x14ac:dyDescent="0.2">
      <c r="A172" s="34"/>
      <c r="B172" s="37" t="str">
        <f t="shared" si="5"/>
        <v xml:space="preserve"> </v>
      </c>
      <c r="C172" s="39" t="s">
        <v>255</v>
      </c>
      <c r="D172" s="39" t="s">
        <v>255</v>
      </c>
      <c r="E172" s="39" t="s">
        <v>255</v>
      </c>
      <c r="F172" s="38" t="str">
        <f t="shared" si="6"/>
        <v/>
      </c>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row>
    <row r="173" spans="1:52" x14ac:dyDescent="0.2">
      <c r="A173" s="34"/>
      <c r="B173" s="37" t="str">
        <f t="shared" si="5"/>
        <v xml:space="preserve"> </v>
      </c>
      <c r="C173" s="39" t="s">
        <v>255</v>
      </c>
      <c r="D173" s="39" t="s">
        <v>255</v>
      </c>
      <c r="E173" s="39" t="s">
        <v>255</v>
      </c>
      <c r="F173" s="38" t="str">
        <f t="shared" si="6"/>
        <v/>
      </c>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row>
    <row r="174" spans="1:52" x14ac:dyDescent="0.2">
      <c r="A174" s="34"/>
      <c r="B174" s="37" t="str">
        <f t="shared" si="5"/>
        <v xml:space="preserve"> </v>
      </c>
      <c r="C174" s="39" t="s">
        <v>255</v>
      </c>
      <c r="D174" s="39" t="s">
        <v>255</v>
      </c>
      <c r="E174" s="39" t="s">
        <v>255</v>
      </c>
      <c r="F174" s="38" t="str">
        <f t="shared" si="6"/>
        <v/>
      </c>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row>
    <row r="175" spans="1:52" x14ac:dyDescent="0.2">
      <c r="A175" s="34"/>
      <c r="B175" s="37" t="str">
        <f t="shared" si="5"/>
        <v xml:space="preserve"> </v>
      </c>
      <c r="C175" s="39" t="s">
        <v>255</v>
      </c>
      <c r="D175" s="39" t="s">
        <v>255</v>
      </c>
      <c r="E175" s="39" t="s">
        <v>255</v>
      </c>
      <c r="F175" s="38" t="str">
        <f t="shared" si="6"/>
        <v/>
      </c>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row>
    <row r="176" spans="1:52" x14ac:dyDescent="0.2">
      <c r="A176" s="34"/>
      <c r="B176" s="37" t="str">
        <f t="shared" si="5"/>
        <v xml:space="preserve"> </v>
      </c>
      <c r="C176" s="39" t="s">
        <v>255</v>
      </c>
      <c r="D176" s="39" t="s">
        <v>255</v>
      </c>
      <c r="E176" s="39" t="s">
        <v>255</v>
      </c>
      <c r="F176" s="38" t="str">
        <f t="shared" si="6"/>
        <v/>
      </c>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row>
    <row r="177" spans="1:52" x14ac:dyDescent="0.2">
      <c r="A177" s="34"/>
      <c r="B177" s="37" t="str">
        <f t="shared" si="5"/>
        <v xml:space="preserve"> </v>
      </c>
      <c r="C177" s="39" t="s">
        <v>255</v>
      </c>
      <c r="D177" s="39" t="s">
        <v>255</v>
      </c>
      <c r="E177" s="39" t="s">
        <v>255</v>
      </c>
      <c r="F177" s="38" t="str">
        <f t="shared" si="6"/>
        <v/>
      </c>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row>
    <row r="178" spans="1:52" x14ac:dyDescent="0.2">
      <c r="A178" s="34"/>
      <c r="B178" s="37" t="str">
        <f t="shared" si="5"/>
        <v xml:space="preserve"> </v>
      </c>
      <c r="C178" s="39" t="s">
        <v>255</v>
      </c>
      <c r="D178" s="39" t="s">
        <v>255</v>
      </c>
      <c r="E178" s="39" t="s">
        <v>255</v>
      </c>
      <c r="F178" s="38" t="str">
        <f t="shared" si="6"/>
        <v/>
      </c>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row>
    <row r="179" spans="1:52" x14ac:dyDescent="0.2">
      <c r="A179" s="34"/>
      <c r="B179" s="37" t="str">
        <f t="shared" si="5"/>
        <v xml:space="preserve"> </v>
      </c>
      <c r="C179" s="39" t="s">
        <v>255</v>
      </c>
      <c r="D179" s="39" t="s">
        <v>255</v>
      </c>
      <c r="E179" s="39" t="s">
        <v>255</v>
      </c>
      <c r="F179" s="38" t="str">
        <f t="shared" si="6"/>
        <v/>
      </c>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row>
    <row r="180" spans="1:52" x14ac:dyDescent="0.2">
      <c r="A180" s="34"/>
      <c r="B180" s="37" t="str">
        <f t="shared" si="5"/>
        <v xml:space="preserve"> </v>
      </c>
      <c r="C180" s="39" t="s">
        <v>255</v>
      </c>
      <c r="D180" s="39" t="s">
        <v>255</v>
      </c>
      <c r="E180" s="39" t="s">
        <v>255</v>
      </c>
      <c r="F180" s="38" t="str">
        <f t="shared" si="6"/>
        <v/>
      </c>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row>
    <row r="181" spans="1:52" x14ac:dyDescent="0.2">
      <c r="A181" s="34"/>
      <c r="B181" s="37" t="str">
        <f t="shared" si="5"/>
        <v xml:space="preserve"> </v>
      </c>
      <c r="C181" s="39" t="s">
        <v>255</v>
      </c>
      <c r="D181" s="39" t="s">
        <v>255</v>
      </c>
      <c r="E181" s="39" t="s">
        <v>255</v>
      </c>
      <c r="F181" s="38" t="str">
        <f t="shared" si="6"/>
        <v/>
      </c>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row>
    <row r="182" spans="1:52" x14ac:dyDescent="0.2">
      <c r="A182" s="34"/>
      <c r="B182" s="37" t="str">
        <f t="shared" si="5"/>
        <v xml:space="preserve"> </v>
      </c>
      <c r="C182" s="39" t="s">
        <v>255</v>
      </c>
      <c r="D182" s="39" t="s">
        <v>255</v>
      </c>
      <c r="E182" s="39" t="s">
        <v>255</v>
      </c>
      <c r="F182" s="38" t="str">
        <f t="shared" si="6"/>
        <v/>
      </c>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row>
    <row r="183" spans="1:52" x14ac:dyDescent="0.2">
      <c r="A183" s="34"/>
      <c r="B183" s="37" t="str">
        <f t="shared" si="5"/>
        <v xml:space="preserve"> </v>
      </c>
      <c r="C183" s="39" t="s">
        <v>255</v>
      </c>
      <c r="D183" s="39" t="s">
        <v>255</v>
      </c>
      <c r="E183" s="39" t="s">
        <v>255</v>
      </c>
      <c r="F183" s="38" t="str">
        <f t="shared" si="6"/>
        <v/>
      </c>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row>
    <row r="184" spans="1:52" x14ac:dyDescent="0.2">
      <c r="A184" s="34"/>
      <c r="B184" s="37" t="str">
        <f t="shared" si="5"/>
        <v xml:space="preserve"> </v>
      </c>
      <c r="C184" s="39" t="s">
        <v>255</v>
      </c>
      <c r="D184" s="39" t="s">
        <v>255</v>
      </c>
      <c r="E184" s="39" t="s">
        <v>255</v>
      </c>
      <c r="F184" s="38" t="str">
        <f t="shared" si="6"/>
        <v/>
      </c>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row>
    <row r="185" spans="1:52" x14ac:dyDescent="0.2">
      <c r="A185" s="34"/>
      <c r="B185" s="37" t="str">
        <f t="shared" si="5"/>
        <v xml:space="preserve"> </v>
      </c>
      <c r="C185" s="39" t="s">
        <v>255</v>
      </c>
      <c r="D185" s="39" t="s">
        <v>255</v>
      </c>
      <c r="E185" s="39" t="s">
        <v>255</v>
      </c>
      <c r="F185" s="38" t="str">
        <f t="shared" si="6"/>
        <v/>
      </c>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row>
    <row r="186" spans="1:52" x14ac:dyDescent="0.2">
      <c r="A186" s="34"/>
      <c r="B186" s="37" t="str">
        <f t="shared" si="5"/>
        <v xml:space="preserve"> </v>
      </c>
      <c r="C186" s="39" t="s">
        <v>255</v>
      </c>
      <c r="D186" s="39" t="s">
        <v>255</v>
      </c>
      <c r="E186" s="39" t="s">
        <v>255</v>
      </c>
      <c r="F186" s="38" t="str">
        <f t="shared" si="6"/>
        <v/>
      </c>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row>
    <row r="187" spans="1:52" x14ac:dyDescent="0.2">
      <c r="A187" s="34"/>
      <c r="B187" s="37" t="str">
        <f t="shared" si="5"/>
        <v xml:space="preserve"> </v>
      </c>
      <c r="C187" s="39" t="s">
        <v>255</v>
      </c>
      <c r="D187" s="39" t="s">
        <v>255</v>
      </c>
      <c r="E187" s="39" t="s">
        <v>255</v>
      </c>
      <c r="F187" s="38" t="str">
        <f t="shared" si="6"/>
        <v/>
      </c>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row>
    <row r="188" spans="1:52" x14ac:dyDescent="0.2">
      <c r="A188" s="34"/>
      <c r="B188" s="37" t="str">
        <f t="shared" si="5"/>
        <v xml:space="preserve"> </v>
      </c>
      <c r="C188" s="39" t="s">
        <v>255</v>
      </c>
      <c r="D188" s="39" t="s">
        <v>255</v>
      </c>
      <c r="E188" s="39" t="s">
        <v>255</v>
      </c>
      <c r="F188" s="38" t="str">
        <f t="shared" si="6"/>
        <v/>
      </c>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row>
    <row r="189" spans="1:52" x14ac:dyDescent="0.2">
      <c r="A189" s="34"/>
      <c r="B189" s="37" t="str">
        <f t="shared" si="5"/>
        <v xml:space="preserve"> </v>
      </c>
      <c r="C189" s="39" t="s">
        <v>255</v>
      </c>
      <c r="D189" s="39" t="s">
        <v>255</v>
      </c>
      <c r="E189" s="39" t="s">
        <v>255</v>
      </c>
      <c r="F189" s="38" t="str">
        <f t="shared" si="6"/>
        <v/>
      </c>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row>
    <row r="190" spans="1:52" x14ac:dyDescent="0.2">
      <c r="A190" s="34"/>
      <c r="B190" s="37" t="str">
        <f t="shared" si="5"/>
        <v xml:space="preserve"> </v>
      </c>
      <c r="C190" s="39" t="s">
        <v>255</v>
      </c>
      <c r="D190" s="39" t="s">
        <v>255</v>
      </c>
      <c r="E190" s="39" t="s">
        <v>255</v>
      </c>
      <c r="F190" s="38" t="str">
        <f t="shared" si="6"/>
        <v/>
      </c>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row>
    <row r="191" spans="1:52" x14ac:dyDescent="0.2">
      <c r="A191" s="34"/>
      <c r="B191" s="37" t="str">
        <f t="shared" si="5"/>
        <v xml:space="preserve"> </v>
      </c>
      <c r="C191" s="39" t="s">
        <v>255</v>
      </c>
      <c r="D191" s="39" t="s">
        <v>255</v>
      </c>
      <c r="E191" s="39" t="s">
        <v>255</v>
      </c>
      <c r="F191" s="38" t="str">
        <f t="shared" si="6"/>
        <v/>
      </c>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row>
    <row r="192" spans="1:52" x14ac:dyDescent="0.2">
      <c r="A192" s="34"/>
      <c r="B192" s="37" t="str">
        <f t="shared" si="5"/>
        <v xml:space="preserve"> </v>
      </c>
      <c r="C192" s="39" t="s">
        <v>255</v>
      </c>
      <c r="D192" s="39" t="s">
        <v>255</v>
      </c>
      <c r="E192" s="39" t="s">
        <v>255</v>
      </c>
      <c r="F192" s="38" t="str">
        <f t="shared" si="6"/>
        <v/>
      </c>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row>
    <row r="193" spans="1:52" x14ac:dyDescent="0.2">
      <c r="A193" s="34"/>
      <c r="B193" s="37" t="str">
        <f t="shared" si="5"/>
        <v xml:space="preserve"> </v>
      </c>
      <c r="C193" s="39" t="s">
        <v>255</v>
      </c>
      <c r="D193" s="39" t="s">
        <v>255</v>
      </c>
      <c r="E193" s="39" t="s">
        <v>255</v>
      </c>
      <c r="F193" s="38" t="str">
        <f t="shared" si="6"/>
        <v/>
      </c>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row>
    <row r="194" spans="1:52" x14ac:dyDescent="0.2">
      <c r="A194" s="34"/>
      <c r="B194" s="37" t="str">
        <f t="shared" si="5"/>
        <v xml:space="preserve"> </v>
      </c>
      <c r="C194" s="39" t="s">
        <v>255</v>
      </c>
      <c r="D194" s="39" t="s">
        <v>255</v>
      </c>
      <c r="E194" s="39" t="s">
        <v>255</v>
      </c>
      <c r="F194" s="38" t="str">
        <f t="shared" si="6"/>
        <v/>
      </c>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row>
    <row r="195" spans="1:52" x14ac:dyDescent="0.2">
      <c r="A195" s="34"/>
      <c r="B195" s="37" t="str">
        <f t="shared" si="5"/>
        <v xml:space="preserve"> </v>
      </c>
      <c r="C195" s="39" t="s">
        <v>255</v>
      </c>
      <c r="D195" s="39" t="s">
        <v>255</v>
      </c>
      <c r="E195" s="39" t="s">
        <v>255</v>
      </c>
      <c r="F195" s="38" t="str">
        <f t="shared" si="6"/>
        <v/>
      </c>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row>
    <row r="196" spans="1:52" x14ac:dyDescent="0.2">
      <c r="A196" s="34"/>
      <c r="B196" s="37" t="str">
        <f t="shared" si="5"/>
        <v xml:space="preserve"> </v>
      </c>
      <c r="C196" s="39" t="s">
        <v>255</v>
      </c>
      <c r="D196" s="39" t="s">
        <v>255</v>
      </c>
      <c r="E196" s="39" t="s">
        <v>255</v>
      </c>
      <c r="F196" s="38" t="str">
        <f t="shared" si="6"/>
        <v/>
      </c>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row>
    <row r="197" spans="1:52" x14ac:dyDescent="0.2">
      <c r="A197" s="34"/>
      <c r="B197" s="37" t="str">
        <f t="shared" si="5"/>
        <v xml:space="preserve"> </v>
      </c>
      <c r="C197" s="39" t="s">
        <v>255</v>
      </c>
      <c r="D197" s="39" t="s">
        <v>255</v>
      </c>
      <c r="E197" s="39" t="s">
        <v>255</v>
      </c>
      <c r="F197" s="38" t="str">
        <f t="shared" si="6"/>
        <v/>
      </c>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row>
    <row r="198" spans="1:52" x14ac:dyDescent="0.2">
      <c r="A198" s="34"/>
      <c r="B198" s="37" t="str">
        <f t="shared" si="5"/>
        <v xml:space="preserve"> </v>
      </c>
      <c r="C198" s="39" t="s">
        <v>255</v>
      </c>
      <c r="D198" s="39" t="s">
        <v>255</v>
      </c>
      <c r="E198" s="39" t="s">
        <v>255</v>
      </c>
      <c r="F198" s="38" t="str">
        <f t="shared" si="6"/>
        <v/>
      </c>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row>
    <row r="199" spans="1:52" x14ac:dyDescent="0.2">
      <c r="A199" s="34"/>
      <c r="B199" s="37" t="str">
        <f t="shared" si="5"/>
        <v xml:space="preserve"> </v>
      </c>
      <c r="C199" s="39" t="s">
        <v>255</v>
      </c>
      <c r="D199" s="39" t="s">
        <v>255</v>
      </c>
      <c r="E199" s="39" t="s">
        <v>255</v>
      </c>
      <c r="F199" s="38" t="str">
        <f t="shared" si="6"/>
        <v/>
      </c>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row>
    <row r="200" spans="1:52" x14ac:dyDescent="0.2">
      <c r="A200" s="34"/>
      <c r="B200" s="37" t="str">
        <f t="shared" si="5"/>
        <v xml:space="preserve"> </v>
      </c>
      <c r="C200" s="39" t="s">
        <v>255</v>
      </c>
      <c r="D200" s="39" t="s">
        <v>255</v>
      </c>
      <c r="E200" s="39" t="s">
        <v>255</v>
      </c>
      <c r="F200" s="38" t="str">
        <f t="shared" si="6"/>
        <v/>
      </c>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row>
    <row r="201" spans="1:52" x14ac:dyDescent="0.2">
      <c r="A201" s="34"/>
      <c r="B201" s="37" t="str">
        <f t="shared" si="5"/>
        <v xml:space="preserve"> </v>
      </c>
      <c r="C201" s="39" t="s">
        <v>255</v>
      </c>
      <c r="D201" s="39" t="s">
        <v>255</v>
      </c>
      <c r="E201" s="39" t="s">
        <v>255</v>
      </c>
      <c r="F201" s="38" t="str">
        <f t="shared" si="6"/>
        <v/>
      </c>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row>
    <row r="202" spans="1:52" x14ac:dyDescent="0.2">
      <c r="A202" s="34"/>
      <c r="B202" s="37" t="str">
        <f t="shared" si="5"/>
        <v xml:space="preserve"> </v>
      </c>
      <c r="C202" s="39" t="s">
        <v>255</v>
      </c>
      <c r="D202" s="39" t="s">
        <v>255</v>
      </c>
      <c r="E202" s="39" t="s">
        <v>255</v>
      </c>
      <c r="F202" s="38" t="str">
        <f t="shared" si="6"/>
        <v/>
      </c>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row>
    <row r="203" spans="1:52" x14ac:dyDescent="0.2">
      <c r="A203" s="34"/>
      <c r="B203" s="37" t="str">
        <f t="shared" si="5"/>
        <v xml:space="preserve"> </v>
      </c>
      <c r="C203" s="39" t="s">
        <v>255</v>
      </c>
      <c r="D203" s="39" t="s">
        <v>255</v>
      </c>
      <c r="E203" s="39" t="s">
        <v>255</v>
      </c>
      <c r="F203" s="38" t="str">
        <f t="shared" si="6"/>
        <v/>
      </c>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row>
    <row r="204" spans="1:52" x14ac:dyDescent="0.2">
      <c r="A204" s="34"/>
      <c r="B204" s="37" t="str">
        <f t="shared" si="5"/>
        <v xml:space="preserve"> </v>
      </c>
      <c r="C204" s="39" t="s">
        <v>255</v>
      </c>
      <c r="D204" s="39" t="s">
        <v>255</v>
      </c>
      <c r="E204" s="39" t="s">
        <v>255</v>
      </c>
      <c r="F204" s="38" t="str">
        <f t="shared" si="6"/>
        <v/>
      </c>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row>
    <row r="205" spans="1:52" x14ac:dyDescent="0.2">
      <c r="A205" s="34"/>
      <c r="B205" s="37" t="str">
        <f t="shared" si="5"/>
        <v xml:space="preserve"> </v>
      </c>
      <c r="C205" s="39" t="s">
        <v>255</v>
      </c>
      <c r="D205" s="39" t="s">
        <v>255</v>
      </c>
      <c r="E205" s="39" t="s">
        <v>255</v>
      </c>
      <c r="F205" s="38" t="str">
        <f t="shared" si="6"/>
        <v/>
      </c>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row>
    <row r="206" spans="1:52" x14ac:dyDescent="0.2">
      <c r="A206" s="34"/>
      <c r="B206" s="37" t="str">
        <f t="shared" si="5"/>
        <v xml:space="preserve"> </v>
      </c>
      <c r="C206" s="39" t="s">
        <v>255</v>
      </c>
      <c r="D206" s="39" t="s">
        <v>255</v>
      </c>
      <c r="E206" s="39" t="s">
        <v>255</v>
      </c>
      <c r="F206" s="38" t="str">
        <f t="shared" si="6"/>
        <v/>
      </c>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row>
    <row r="207" spans="1:52" x14ac:dyDescent="0.2">
      <c r="A207" s="34"/>
      <c r="B207" s="37" t="str">
        <f t="shared" si="5"/>
        <v xml:space="preserve"> </v>
      </c>
      <c r="C207" s="39" t="s">
        <v>255</v>
      </c>
      <c r="D207" s="39" t="s">
        <v>255</v>
      </c>
      <c r="E207" s="39" t="s">
        <v>255</v>
      </c>
      <c r="F207" s="38" t="str">
        <f t="shared" si="6"/>
        <v/>
      </c>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row>
    <row r="208" spans="1:52" x14ac:dyDescent="0.2">
      <c r="A208" s="34"/>
      <c r="B208" s="37" t="str">
        <f t="shared" si="5"/>
        <v xml:space="preserve"> </v>
      </c>
      <c r="C208" s="39" t="s">
        <v>255</v>
      </c>
      <c r="D208" s="39" t="s">
        <v>255</v>
      </c>
      <c r="E208" s="39" t="s">
        <v>255</v>
      </c>
      <c r="F208" s="38" t="str">
        <f t="shared" si="6"/>
        <v/>
      </c>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row>
    <row r="209" spans="1:52" x14ac:dyDescent="0.2">
      <c r="A209" s="34"/>
      <c r="B209" s="37" t="str">
        <f t="shared" si="5"/>
        <v xml:space="preserve"> </v>
      </c>
      <c r="C209" s="39" t="s">
        <v>255</v>
      </c>
      <c r="D209" s="39" t="s">
        <v>255</v>
      </c>
      <c r="E209" s="39" t="s">
        <v>255</v>
      </c>
      <c r="F209" s="38" t="str">
        <f t="shared" si="6"/>
        <v/>
      </c>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row>
    <row r="210" spans="1:52" x14ac:dyDescent="0.2">
      <c r="A210" s="34"/>
      <c r="B210" s="37" t="str">
        <f t="shared" ref="B210:B273" si="7">IF(LEFT(C210, 2)="20", "W" &amp; C210, C210)</f>
        <v xml:space="preserve"> </v>
      </c>
      <c r="C210" s="39" t="s">
        <v>255</v>
      </c>
      <c r="D210" s="39" t="s">
        <v>255</v>
      </c>
      <c r="E210" s="39" t="s">
        <v>255</v>
      </c>
      <c r="F210" s="38" t="str">
        <f t="shared" ref="F210:F273" si="8">IF(C210= " ", "", IFERROR(VLOOKUP(B210, ExtMarksRHS, 4, FALSE), "X"))</f>
        <v/>
      </c>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row>
    <row r="211" spans="1:52" x14ac:dyDescent="0.2">
      <c r="A211" s="34"/>
      <c r="B211" s="37" t="str">
        <f t="shared" si="7"/>
        <v xml:space="preserve"> </v>
      </c>
      <c r="C211" s="39" t="s">
        <v>255</v>
      </c>
      <c r="D211" s="39" t="s">
        <v>255</v>
      </c>
      <c r="E211" s="39" t="s">
        <v>255</v>
      </c>
      <c r="F211" s="38" t="str">
        <f t="shared" si="8"/>
        <v/>
      </c>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row>
    <row r="212" spans="1:52" x14ac:dyDescent="0.2">
      <c r="A212" s="34"/>
      <c r="B212" s="37" t="str">
        <f t="shared" si="7"/>
        <v xml:space="preserve"> </v>
      </c>
      <c r="C212" s="39" t="s">
        <v>255</v>
      </c>
      <c r="D212" s="39" t="s">
        <v>255</v>
      </c>
      <c r="E212" s="39" t="s">
        <v>255</v>
      </c>
      <c r="F212" s="38" t="str">
        <f t="shared" si="8"/>
        <v/>
      </c>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row>
    <row r="213" spans="1:52" x14ac:dyDescent="0.2">
      <c r="A213" s="34"/>
      <c r="B213" s="37" t="str">
        <f t="shared" si="7"/>
        <v xml:space="preserve"> </v>
      </c>
      <c r="C213" s="39" t="s">
        <v>255</v>
      </c>
      <c r="D213" s="39" t="s">
        <v>255</v>
      </c>
      <c r="E213" s="39" t="s">
        <v>255</v>
      </c>
      <c r="F213" s="38" t="str">
        <f t="shared" si="8"/>
        <v/>
      </c>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row>
    <row r="214" spans="1:52" x14ac:dyDescent="0.2">
      <c r="A214" s="34"/>
      <c r="B214" s="37" t="str">
        <f t="shared" si="7"/>
        <v xml:space="preserve"> </v>
      </c>
      <c r="C214" s="39" t="s">
        <v>255</v>
      </c>
      <c r="D214" s="39" t="s">
        <v>255</v>
      </c>
      <c r="E214" s="39" t="s">
        <v>255</v>
      </c>
      <c r="F214" s="38" t="str">
        <f t="shared" si="8"/>
        <v/>
      </c>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row>
    <row r="215" spans="1:52" x14ac:dyDescent="0.2">
      <c r="A215" s="34"/>
      <c r="B215" s="37" t="str">
        <f t="shared" si="7"/>
        <v xml:space="preserve"> </v>
      </c>
      <c r="C215" s="39" t="s">
        <v>255</v>
      </c>
      <c r="D215" s="39" t="s">
        <v>255</v>
      </c>
      <c r="E215" s="39" t="s">
        <v>255</v>
      </c>
      <c r="F215" s="38" t="str">
        <f t="shared" si="8"/>
        <v/>
      </c>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row>
    <row r="216" spans="1:52" x14ac:dyDescent="0.2">
      <c r="A216" s="34"/>
      <c r="B216" s="37" t="str">
        <f t="shared" si="7"/>
        <v xml:space="preserve"> </v>
      </c>
      <c r="C216" s="39" t="s">
        <v>255</v>
      </c>
      <c r="D216" s="39" t="s">
        <v>255</v>
      </c>
      <c r="E216" s="39" t="s">
        <v>255</v>
      </c>
      <c r="F216" s="38" t="str">
        <f t="shared" si="8"/>
        <v/>
      </c>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row>
    <row r="217" spans="1:52" x14ac:dyDescent="0.2">
      <c r="A217" s="34"/>
      <c r="B217" s="37" t="str">
        <f t="shared" si="7"/>
        <v xml:space="preserve"> </v>
      </c>
      <c r="C217" s="39" t="s">
        <v>255</v>
      </c>
      <c r="D217" s="39" t="s">
        <v>255</v>
      </c>
      <c r="E217" s="39" t="s">
        <v>255</v>
      </c>
      <c r="F217" s="38" t="str">
        <f t="shared" si="8"/>
        <v/>
      </c>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row>
    <row r="218" spans="1:52" x14ac:dyDescent="0.2">
      <c r="A218" s="34"/>
      <c r="B218" s="37" t="str">
        <f t="shared" si="7"/>
        <v xml:space="preserve"> </v>
      </c>
      <c r="C218" s="39" t="s">
        <v>255</v>
      </c>
      <c r="D218" s="39" t="s">
        <v>255</v>
      </c>
      <c r="E218" s="39" t="s">
        <v>255</v>
      </c>
      <c r="F218" s="38" t="str">
        <f t="shared" si="8"/>
        <v/>
      </c>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row>
    <row r="219" spans="1:52" x14ac:dyDescent="0.2">
      <c r="A219" s="34"/>
      <c r="B219" s="37" t="str">
        <f t="shared" si="7"/>
        <v xml:space="preserve"> </v>
      </c>
      <c r="C219" s="39" t="s">
        <v>255</v>
      </c>
      <c r="D219" s="39" t="s">
        <v>255</v>
      </c>
      <c r="E219" s="39" t="s">
        <v>255</v>
      </c>
      <c r="F219" s="38" t="str">
        <f t="shared" si="8"/>
        <v/>
      </c>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row>
    <row r="220" spans="1:52" x14ac:dyDescent="0.2">
      <c r="A220" s="34"/>
      <c r="B220" s="37" t="str">
        <f t="shared" si="7"/>
        <v xml:space="preserve"> </v>
      </c>
      <c r="C220" s="39" t="s">
        <v>255</v>
      </c>
      <c r="D220" s="39" t="s">
        <v>255</v>
      </c>
      <c r="E220" s="39" t="s">
        <v>255</v>
      </c>
      <c r="F220" s="38" t="str">
        <f t="shared" si="8"/>
        <v/>
      </c>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row>
    <row r="221" spans="1:52" x14ac:dyDescent="0.2">
      <c r="A221" s="34"/>
      <c r="B221" s="37" t="str">
        <f t="shared" si="7"/>
        <v xml:space="preserve"> </v>
      </c>
      <c r="C221" s="39" t="s">
        <v>255</v>
      </c>
      <c r="D221" s="39" t="s">
        <v>255</v>
      </c>
      <c r="E221" s="39" t="s">
        <v>255</v>
      </c>
      <c r="F221" s="38" t="str">
        <f t="shared" si="8"/>
        <v/>
      </c>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row>
    <row r="222" spans="1:52" x14ac:dyDescent="0.2">
      <c r="A222" s="34"/>
      <c r="B222" s="37" t="str">
        <f t="shared" si="7"/>
        <v xml:space="preserve"> </v>
      </c>
      <c r="C222" s="39" t="s">
        <v>255</v>
      </c>
      <c r="D222" s="39" t="s">
        <v>255</v>
      </c>
      <c r="E222" s="39" t="s">
        <v>255</v>
      </c>
      <c r="F222" s="38" t="str">
        <f t="shared" si="8"/>
        <v/>
      </c>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row>
    <row r="223" spans="1:52" x14ac:dyDescent="0.2">
      <c r="A223" s="34"/>
      <c r="B223" s="37" t="str">
        <f t="shared" si="7"/>
        <v xml:space="preserve"> </v>
      </c>
      <c r="C223" s="39" t="s">
        <v>255</v>
      </c>
      <c r="D223" s="39" t="s">
        <v>255</v>
      </c>
      <c r="E223" s="39" t="s">
        <v>255</v>
      </c>
      <c r="F223" s="38" t="str">
        <f t="shared" si="8"/>
        <v/>
      </c>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row>
    <row r="224" spans="1:52" x14ac:dyDescent="0.2">
      <c r="A224" s="34"/>
      <c r="B224" s="37" t="str">
        <f t="shared" si="7"/>
        <v xml:space="preserve"> </v>
      </c>
      <c r="C224" s="39" t="s">
        <v>255</v>
      </c>
      <c r="D224" s="39" t="s">
        <v>255</v>
      </c>
      <c r="E224" s="39" t="s">
        <v>255</v>
      </c>
      <c r="F224" s="38" t="str">
        <f t="shared" si="8"/>
        <v/>
      </c>
      <c r="G224" s="34"/>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c r="AE224" s="34"/>
      <c r="AF224" s="34"/>
      <c r="AG224" s="34"/>
      <c r="AH224" s="34"/>
      <c r="AI224" s="34"/>
      <c r="AJ224" s="34"/>
      <c r="AK224" s="34"/>
      <c r="AL224" s="34"/>
      <c r="AM224" s="34"/>
      <c r="AN224" s="34"/>
      <c r="AO224" s="34"/>
      <c r="AP224" s="34"/>
      <c r="AQ224" s="34"/>
      <c r="AR224" s="34"/>
      <c r="AS224" s="34"/>
      <c r="AT224" s="34"/>
      <c r="AU224" s="34"/>
      <c r="AV224" s="34"/>
      <c r="AW224" s="34"/>
      <c r="AX224" s="34"/>
      <c r="AY224" s="34"/>
      <c r="AZ224" s="34"/>
    </row>
    <row r="225" spans="1:52" x14ac:dyDescent="0.2">
      <c r="A225" s="34"/>
      <c r="B225" s="37" t="str">
        <f t="shared" si="7"/>
        <v xml:space="preserve"> </v>
      </c>
      <c r="C225" s="39" t="s">
        <v>255</v>
      </c>
      <c r="D225" s="39" t="s">
        <v>255</v>
      </c>
      <c r="E225" s="39" t="s">
        <v>255</v>
      </c>
      <c r="F225" s="38" t="str">
        <f t="shared" si="8"/>
        <v/>
      </c>
      <c r="G225" s="34"/>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c r="AE225" s="34"/>
      <c r="AF225" s="34"/>
      <c r="AG225" s="34"/>
      <c r="AH225" s="34"/>
      <c r="AI225" s="34"/>
      <c r="AJ225" s="34"/>
      <c r="AK225" s="34"/>
      <c r="AL225" s="34"/>
      <c r="AM225" s="34"/>
      <c r="AN225" s="34"/>
      <c r="AO225" s="34"/>
      <c r="AP225" s="34"/>
      <c r="AQ225" s="34"/>
      <c r="AR225" s="34"/>
      <c r="AS225" s="34"/>
      <c r="AT225" s="34"/>
      <c r="AU225" s="34"/>
      <c r="AV225" s="34"/>
      <c r="AW225" s="34"/>
      <c r="AX225" s="34"/>
      <c r="AY225" s="34"/>
      <c r="AZ225" s="34"/>
    </row>
    <row r="226" spans="1:52" x14ac:dyDescent="0.2">
      <c r="A226" s="34"/>
      <c r="B226" s="37" t="str">
        <f t="shared" si="7"/>
        <v xml:space="preserve"> </v>
      </c>
      <c r="C226" s="39" t="s">
        <v>255</v>
      </c>
      <c r="D226" s="39" t="s">
        <v>255</v>
      </c>
      <c r="E226" s="39" t="s">
        <v>255</v>
      </c>
      <c r="F226" s="38" t="str">
        <f t="shared" si="8"/>
        <v/>
      </c>
      <c r="G226" s="34"/>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c r="AE226" s="34"/>
      <c r="AF226" s="34"/>
      <c r="AG226" s="34"/>
      <c r="AH226" s="34"/>
      <c r="AI226" s="34"/>
      <c r="AJ226" s="34"/>
      <c r="AK226" s="34"/>
      <c r="AL226" s="34"/>
      <c r="AM226" s="34"/>
      <c r="AN226" s="34"/>
      <c r="AO226" s="34"/>
      <c r="AP226" s="34"/>
      <c r="AQ226" s="34"/>
      <c r="AR226" s="34"/>
      <c r="AS226" s="34"/>
      <c r="AT226" s="34"/>
      <c r="AU226" s="34"/>
      <c r="AV226" s="34"/>
      <c r="AW226" s="34"/>
      <c r="AX226" s="34"/>
      <c r="AY226" s="34"/>
      <c r="AZ226" s="34"/>
    </row>
    <row r="227" spans="1:52" x14ac:dyDescent="0.2">
      <c r="A227" s="34"/>
      <c r="B227" s="37" t="str">
        <f t="shared" si="7"/>
        <v xml:space="preserve"> </v>
      </c>
      <c r="C227" s="39" t="s">
        <v>255</v>
      </c>
      <c r="D227" s="39" t="s">
        <v>255</v>
      </c>
      <c r="E227" s="39" t="s">
        <v>255</v>
      </c>
      <c r="F227" s="38" t="str">
        <f t="shared" si="8"/>
        <v/>
      </c>
      <c r="G227" s="34"/>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c r="AS227" s="34"/>
      <c r="AT227" s="34"/>
      <c r="AU227" s="34"/>
      <c r="AV227" s="34"/>
      <c r="AW227" s="34"/>
      <c r="AX227" s="34"/>
      <c r="AY227" s="34"/>
      <c r="AZ227" s="34"/>
    </row>
    <row r="228" spans="1:52" x14ac:dyDescent="0.2">
      <c r="A228" s="34"/>
      <c r="B228" s="37" t="str">
        <f t="shared" si="7"/>
        <v xml:space="preserve"> </v>
      </c>
      <c r="C228" s="39" t="s">
        <v>255</v>
      </c>
      <c r="D228" s="39" t="s">
        <v>255</v>
      </c>
      <c r="E228" s="39" t="s">
        <v>255</v>
      </c>
      <c r="F228" s="38" t="str">
        <f t="shared" si="8"/>
        <v/>
      </c>
      <c r="G228" s="34"/>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c r="AS228" s="34"/>
      <c r="AT228" s="34"/>
      <c r="AU228" s="34"/>
      <c r="AV228" s="34"/>
      <c r="AW228" s="34"/>
      <c r="AX228" s="34"/>
      <c r="AY228" s="34"/>
      <c r="AZ228" s="34"/>
    </row>
    <row r="229" spans="1:52" x14ac:dyDescent="0.2">
      <c r="A229" s="34"/>
      <c r="B229" s="37" t="str">
        <f t="shared" si="7"/>
        <v xml:space="preserve"> </v>
      </c>
      <c r="C229" s="39" t="s">
        <v>255</v>
      </c>
      <c r="D229" s="39" t="s">
        <v>255</v>
      </c>
      <c r="E229" s="39" t="s">
        <v>255</v>
      </c>
      <c r="F229" s="38" t="str">
        <f t="shared" si="8"/>
        <v/>
      </c>
      <c r="G229" s="34"/>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c r="AS229" s="34"/>
      <c r="AT229" s="34"/>
      <c r="AU229" s="34"/>
      <c r="AV229" s="34"/>
      <c r="AW229" s="34"/>
      <c r="AX229" s="34"/>
      <c r="AY229" s="34"/>
      <c r="AZ229" s="34"/>
    </row>
    <row r="230" spans="1:52" x14ac:dyDescent="0.2">
      <c r="A230" s="34"/>
      <c r="B230" s="37" t="str">
        <f t="shared" si="7"/>
        <v xml:space="preserve"> </v>
      </c>
      <c r="C230" s="39" t="s">
        <v>255</v>
      </c>
      <c r="D230" s="39" t="s">
        <v>255</v>
      </c>
      <c r="E230" s="39" t="s">
        <v>255</v>
      </c>
      <c r="F230" s="38" t="str">
        <f t="shared" si="8"/>
        <v/>
      </c>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c r="AS230" s="34"/>
      <c r="AT230" s="34"/>
      <c r="AU230" s="34"/>
      <c r="AV230" s="34"/>
      <c r="AW230" s="34"/>
      <c r="AX230" s="34"/>
      <c r="AY230" s="34"/>
      <c r="AZ230" s="34"/>
    </row>
    <row r="231" spans="1:52" x14ac:dyDescent="0.2">
      <c r="A231" s="34"/>
      <c r="B231" s="37" t="str">
        <f t="shared" si="7"/>
        <v xml:space="preserve"> </v>
      </c>
      <c r="C231" s="39" t="s">
        <v>255</v>
      </c>
      <c r="D231" s="39" t="s">
        <v>255</v>
      </c>
      <c r="E231" s="39" t="s">
        <v>255</v>
      </c>
      <c r="F231" s="38" t="str">
        <f t="shared" si="8"/>
        <v/>
      </c>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4"/>
      <c r="AQ231" s="34"/>
      <c r="AR231" s="34"/>
      <c r="AS231" s="34"/>
      <c r="AT231" s="34"/>
      <c r="AU231" s="34"/>
      <c r="AV231" s="34"/>
      <c r="AW231" s="34"/>
      <c r="AX231" s="34"/>
      <c r="AY231" s="34"/>
      <c r="AZ231" s="34"/>
    </row>
    <row r="232" spans="1:52" x14ac:dyDescent="0.2">
      <c r="A232" s="34"/>
      <c r="B232" s="37" t="str">
        <f t="shared" si="7"/>
        <v xml:space="preserve"> </v>
      </c>
      <c r="C232" s="39" t="s">
        <v>255</v>
      </c>
      <c r="D232" s="39" t="s">
        <v>255</v>
      </c>
      <c r="E232" s="39" t="s">
        <v>255</v>
      </c>
      <c r="F232" s="38" t="str">
        <f t="shared" si="8"/>
        <v/>
      </c>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4"/>
      <c r="AO232" s="34"/>
      <c r="AP232" s="34"/>
      <c r="AQ232" s="34"/>
      <c r="AR232" s="34"/>
      <c r="AS232" s="34"/>
      <c r="AT232" s="34"/>
      <c r="AU232" s="34"/>
      <c r="AV232" s="34"/>
      <c r="AW232" s="34"/>
      <c r="AX232" s="34"/>
      <c r="AY232" s="34"/>
      <c r="AZ232" s="34"/>
    </row>
    <row r="233" spans="1:52" x14ac:dyDescent="0.2">
      <c r="A233" s="34"/>
      <c r="B233" s="37" t="str">
        <f t="shared" si="7"/>
        <v xml:space="preserve"> </v>
      </c>
      <c r="C233" s="39" t="s">
        <v>255</v>
      </c>
      <c r="D233" s="39" t="s">
        <v>255</v>
      </c>
      <c r="E233" s="39" t="s">
        <v>255</v>
      </c>
      <c r="F233" s="38" t="str">
        <f t="shared" si="8"/>
        <v/>
      </c>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4"/>
      <c r="AQ233" s="34"/>
      <c r="AR233" s="34"/>
      <c r="AS233" s="34"/>
      <c r="AT233" s="34"/>
      <c r="AU233" s="34"/>
      <c r="AV233" s="34"/>
      <c r="AW233" s="34"/>
      <c r="AX233" s="34"/>
      <c r="AY233" s="34"/>
      <c r="AZ233" s="34"/>
    </row>
    <row r="234" spans="1:52" x14ac:dyDescent="0.2">
      <c r="A234" s="34"/>
      <c r="B234" s="37" t="str">
        <f t="shared" si="7"/>
        <v xml:space="preserve"> </v>
      </c>
      <c r="C234" s="39" t="s">
        <v>255</v>
      </c>
      <c r="D234" s="39" t="s">
        <v>255</v>
      </c>
      <c r="E234" s="39" t="s">
        <v>255</v>
      </c>
      <c r="F234" s="38" t="str">
        <f t="shared" si="8"/>
        <v/>
      </c>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4"/>
      <c r="AO234" s="34"/>
      <c r="AP234" s="34"/>
      <c r="AQ234" s="34"/>
      <c r="AR234" s="34"/>
      <c r="AS234" s="34"/>
      <c r="AT234" s="34"/>
      <c r="AU234" s="34"/>
      <c r="AV234" s="34"/>
      <c r="AW234" s="34"/>
      <c r="AX234" s="34"/>
      <c r="AY234" s="34"/>
      <c r="AZ234" s="34"/>
    </row>
    <row r="235" spans="1:52" x14ac:dyDescent="0.2">
      <c r="A235" s="34"/>
      <c r="B235" s="37" t="str">
        <f t="shared" si="7"/>
        <v xml:space="preserve"> </v>
      </c>
      <c r="C235" s="39" t="s">
        <v>255</v>
      </c>
      <c r="D235" s="39" t="s">
        <v>255</v>
      </c>
      <c r="E235" s="39" t="s">
        <v>255</v>
      </c>
      <c r="F235" s="38" t="str">
        <f t="shared" si="8"/>
        <v/>
      </c>
      <c r="G235" s="34"/>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c r="AE235" s="34"/>
      <c r="AF235" s="34"/>
      <c r="AG235" s="34"/>
      <c r="AH235" s="34"/>
      <c r="AI235" s="34"/>
      <c r="AJ235" s="34"/>
      <c r="AK235" s="34"/>
      <c r="AL235" s="34"/>
      <c r="AM235" s="34"/>
      <c r="AN235" s="34"/>
      <c r="AO235" s="34"/>
      <c r="AP235" s="34"/>
      <c r="AQ235" s="34"/>
      <c r="AR235" s="34"/>
      <c r="AS235" s="34"/>
      <c r="AT235" s="34"/>
      <c r="AU235" s="34"/>
      <c r="AV235" s="34"/>
      <c r="AW235" s="34"/>
      <c r="AX235" s="34"/>
      <c r="AY235" s="34"/>
      <c r="AZ235" s="34"/>
    </row>
    <row r="236" spans="1:52" x14ac:dyDescent="0.2">
      <c r="A236" s="34"/>
      <c r="B236" s="37" t="str">
        <f t="shared" si="7"/>
        <v xml:space="preserve"> </v>
      </c>
      <c r="C236" s="39" t="s">
        <v>255</v>
      </c>
      <c r="D236" s="39" t="s">
        <v>255</v>
      </c>
      <c r="E236" s="39" t="s">
        <v>255</v>
      </c>
      <c r="F236" s="38" t="str">
        <f t="shared" si="8"/>
        <v/>
      </c>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4"/>
      <c r="AO236" s="34"/>
      <c r="AP236" s="34"/>
      <c r="AQ236" s="34"/>
      <c r="AR236" s="34"/>
      <c r="AS236" s="34"/>
      <c r="AT236" s="34"/>
      <c r="AU236" s="34"/>
      <c r="AV236" s="34"/>
      <c r="AW236" s="34"/>
      <c r="AX236" s="34"/>
      <c r="AY236" s="34"/>
      <c r="AZ236" s="34"/>
    </row>
    <row r="237" spans="1:52" x14ac:dyDescent="0.2">
      <c r="A237" s="34"/>
      <c r="B237" s="37" t="str">
        <f t="shared" si="7"/>
        <v xml:space="preserve"> </v>
      </c>
      <c r="C237" s="39" t="s">
        <v>255</v>
      </c>
      <c r="D237" s="39" t="s">
        <v>255</v>
      </c>
      <c r="E237" s="39" t="s">
        <v>255</v>
      </c>
      <c r="F237" s="38" t="str">
        <f t="shared" si="8"/>
        <v/>
      </c>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c r="AS237" s="34"/>
      <c r="AT237" s="34"/>
      <c r="AU237" s="34"/>
      <c r="AV237" s="34"/>
      <c r="AW237" s="34"/>
      <c r="AX237" s="34"/>
      <c r="AY237" s="34"/>
      <c r="AZ237" s="34"/>
    </row>
    <row r="238" spans="1:52" x14ac:dyDescent="0.2">
      <c r="A238" s="34"/>
      <c r="B238" s="37" t="str">
        <f t="shared" si="7"/>
        <v xml:space="preserve"> </v>
      </c>
      <c r="C238" s="39" t="s">
        <v>255</v>
      </c>
      <c r="D238" s="39" t="s">
        <v>255</v>
      </c>
      <c r="E238" s="39" t="s">
        <v>255</v>
      </c>
      <c r="F238" s="38" t="str">
        <f t="shared" si="8"/>
        <v/>
      </c>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c r="AS238" s="34"/>
      <c r="AT238" s="34"/>
      <c r="AU238" s="34"/>
      <c r="AV238" s="34"/>
      <c r="AW238" s="34"/>
      <c r="AX238" s="34"/>
      <c r="AY238" s="34"/>
      <c r="AZ238" s="34"/>
    </row>
    <row r="239" spans="1:52" x14ac:dyDescent="0.2">
      <c r="A239" s="34"/>
      <c r="B239" s="37" t="str">
        <f t="shared" si="7"/>
        <v xml:space="preserve"> </v>
      </c>
      <c r="C239" s="39" t="s">
        <v>255</v>
      </c>
      <c r="D239" s="39" t="s">
        <v>255</v>
      </c>
      <c r="E239" s="39" t="s">
        <v>255</v>
      </c>
      <c r="F239" s="38" t="str">
        <f t="shared" si="8"/>
        <v/>
      </c>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c r="AS239" s="34"/>
      <c r="AT239" s="34"/>
      <c r="AU239" s="34"/>
      <c r="AV239" s="34"/>
      <c r="AW239" s="34"/>
      <c r="AX239" s="34"/>
      <c r="AY239" s="34"/>
      <c r="AZ239" s="34"/>
    </row>
    <row r="240" spans="1:52" x14ac:dyDescent="0.2">
      <c r="A240" s="34"/>
      <c r="B240" s="37" t="str">
        <f t="shared" si="7"/>
        <v xml:space="preserve"> </v>
      </c>
      <c r="C240" s="39" t="s">
        <v>255</v>
      </c>
      <c r="D240" s="39" t="s">
        <v>255</v>
      </c>
      <c r="E240" s="39" t="s">
        <v>255</v>
      </c>
      <c r="F240" s="38" t="str">
        <f t="shared" si="8"/>
        <v/>
      </c>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row>
    <row r="241" spans="1:52" x14ac:dyDescent="0.2">
      <c r="A241" s="34"/>
      <c r="B241" s="37" t="str">
        <f t="shared" si="7"/>
        <v xml:space="preserve"> </v>
      </c>
      <c r="C241" s="39" t="s">
        <v>255</v>
      </c>
      <c r="D241" s="39" t="s">
        <v>255</v>
      </c>
      <c r="E241" s="39" t="s">
        <v>255</v>
      </c>
      <c r="F241" s="38" t="str">
        <f t="shared" si="8"/>
        <v/>
      </c>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c r="AW241" s="34"/>
      <c r="AX241" s="34"/>
      <c r="AY241" s="34"/>
      <c r="AZ241" s="34"/>
    </row>
    <row r="242" spans="1:52" x14ac:dyDescent="0.2">
      <c r="A242" s="34"/>
      <c r="B242" s="37" t="str">
        <f t="shared" si="7"/>
        <v xml:space="preserve"> </v>
      </c>
      <c r="C242" s="39" t="s">
        <v>255</v>
      </c>
      <c r="D242" s="39" t="s">
        <v>255</v>
      </c>
      <c r="E242" s="39" t="s">
        <v>255</v>
      </c>
      <c r="F242" s="38" t="str">
        <f t="shared" si="8"/>
        <v/>
      </c>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c r="AW242" s="34"/>
      <c r="AX242" s="34"/>
      <c r="AY242" s="34"/>
      <c r="AZ242" s="34"/>
    </row>
    <row r="243" spans="1:52" x14ac:dyDescent="0.2">
      <c r="A243" s="34"/>
      <c r="B243" s="37" t="str">
        <f t="shared" si="7"/>
        <v xml:space="preserve"> </v>
      </c>
      <c r="C243" s="39" t="s">
        <v>255</v>
      </c>
      <c r="D243" s="39" t="s">
        <v>255</v>
      </c>
      <c r="E243" s="39" t="s">
        <v>255</v>
      </c>
      <c r="F243" s="38" t="str">
        <f t="shared" si="8"/>
        <v/>
      </c>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c r="AW243" s="34"/>
      <c r="AX243" s="34"/>
      <c r="AY243" s="34"/>
      <c r="AZ243" s="34"/>
    </row>
    <row r="244" spans="1:52" x14ac:dyDescent="0.2">
      <c r="A244" s="34"/>
      <c r="B244" s="37" t="str">
        <f t="shared" si="7"/>
        <v xml:space="preserve"> </v>
      </c>
      <c r="C244" s="39" t="s">
        <v>255</v>
      </c>
      <c r="D244" s="39" t="s">
        <v>255</v>
      </c>
      <c r="E244" s="39" t="s">
        <v>255</v>
      </c>
      <c r="F244" s="38" t="str">
        <f t="shared" si="8"/>
        <v/>
      </c>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c r="AW244" s="34"/>
      <c r="AX244" s="34"/>
      <c r="AY244" s="34"/>
      <c r="AZ244" s="34"/>
    </row>
    <row r="245" spans="1:52" x14ac:dyDescent="0.2">
      <c r="A245" s="34"/>
      <c r="B245" s="37" t="str">
        <f t="shared" si="7"/>
        <v xml:space="preserve"> </v>
      </c>
      <c r="C245" s="39" t="s">
        <v>255</v>
      </c>
      <c r="D245" s="39" t="s">
        <v>255</v>
      </c>
      <c r="E245" s="39" t="s">
        <v>255</v>
      </c>
      <c r="F245" s="38" t="str">
        <f t="shared" si="8"/>
        <v/>
      </c>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c r="AW245" s="34"/>
      <c r="AX245" s="34"/>
      <c r="AY245" s="34"/>
      <c r="AZ245" s="34"/>
    </row>
    <row r="246" spans="1:52" x14ac:dyDescent="0.2">
      <c r="A246" s="34"/>
      <c r="B246" s="37" t="str">
        <f t="shared" si="7"/>
        <v xml:space="preserve"> </v>
      </c>
      <c r="C246" s="39" t="s">
        <v>255</v>
      </c>
      <c r="D246" s="39" t="s">
        <v>255</v>
      </c>
      <c r="E246" s="39" t="s">
        <v>255</v>
      </c>
      <c r="F246" s="38" t="str">
        <f t="shared" si="8"/>
        <v/>
      </c>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c r="AW246" s="34"/>
      <c r="AX246" s="34"/>
      <c r="AY246" s="34"/>
      <c r="AZ246" s="34"/>
    </row>
    <row r="247" spans="1:52" x14ac:dyDescent="0.2">
      <c r="A247" s="34"/>
      <c r="B247" s="37" t="str">
        <f t="shared" si="7"/>
        <v xml:space="preserve"> </v>
      </c>
      <c r="C247" s="39" t="s">
        <v>255</v>
      </c>
      <c r="D247" s="39" t="s">
        <v>255</v>
      </c>
      <c r="E247" s="39" t="s">
        <v>255</v>
      </c>
      <c r="F247" s="38" t="str">
        <f t="shared" si="8"/>
        <v/>
      </c>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4"/>
      <c r="AO247" s="34"/>
      <c r="AP247" s="34"/>
      <c r="AQ247" s="34"/>
      <c r="AR247" s="34"/>
      <c r="AS247" s="34"/>
      <c r="AT247" s="34"/>
      <c r="AU247" s="34"/>
      <c r="AV247" s="34"/>
      <c r="AW247" s="34"/>
      <c r="AX247" s="34"/>
      <c r="AY247" s="34"/>
      <c r="AZ247" s="34"/>
    </row>
    <row r="248" spans="1:52" x14ac:dyDescent="0.2">
      <c r="A248" s="34"/>
      <c r="B248" s="37" t="str">
        <f t="shared" si="7"/>
        <v xml:space="preserve"> </v>
      </c>
      <c r="C248" s="39" t="s">
        <v>255</v>
      </c>
      <c r="D248" s="39" t="s">
        <v>255</v>
      </c>
      <c r="E248" s="39" t="s">
        <v>255</v>
      </c>
      <c r="F248" s="38" t="str">
        <f t="shared" si="8"/>
        <v/>
      </c>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4"/>
      <c r="AO248" s="34"/>
      <c r="AP248" s="34"/>
      <c r="AQ248" s="34"/>
      <c r="AR248" s="34"/>
      <c r="AS248" s="34"/>
      <c r="AT248" s="34"/>
      <c r="AU248" s="34"/>
      <c r="AV248" s="34"/>
      <c r="AW248" s="34"/>
      <c r="AX248" s="34"/>
      <c r="AY248" s="34"/>
      <c r="AZ248" s="34"/>
    </row>
    <row r="249" spans="1:52" x14ac:dyDescent="0.2">
      <c r="A249" s="34"/>
      <c r="B249" s="37" t="str">
        <f t="shared" si="7"/>
        <v xml:space="preserve"> </v>
      </c>
      <c r="C249" s="39" t="s">
        <v>255</v>
      </c>
      <c r="D249" s="39" t="s">
        <v>255</v>
      </c>
      <c r="E249" s="39" t="s">
        <v>255</v>
      </c>
      <c r="F249" s="38" t="str">
        <f t="shared" si="8"/>
        <v/>
      </c>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4"/>
      <c r="AO249" s="34"/>
      <c r="AP249" s="34"/>
      <c r="AQ249" s="34"/>
      <c r="AR249" s="34"/>
      <c r="AS249" s="34"/>
      <c r="AT249" s="34"/>
      <c r="AU249" s="34"/>
      <c r="AV249" s="34"/>
      <c r="AW249" s="34"/>
      <c r="AX249" s="34"/>
      <c r="AY249" s="34"/>
      <c r="AZ249" s="34"/>
    </row>
    <row r="250" spans="1:52" x14ac:dyDescent="0.2">
      <c r="A250" s="34"/>
      <c r="B250" s="37" t="str">
        <f t="shared" si="7"/>
        <v xml:space="preserve"> </v>
      </c>
      <c r="C250" s="39" t="s">
        <v>255</v>
      </c>
      <c r="D250" s="39" t="s">
        <v>255</v>
      </c>
      <c r="E250" s="39" t="s">
        <v>255</v>
      </c>
      <c r="F250" s="38" t="str">
        <f t="shared" si="8"/>
        <v/>
      </c>
      <c r="G250" s="34"/>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c r="AE250" s="34"/>
      <c r="AF250" s="34"/>
      <c r="AG250" s="34"/>
      <c r="AH250" s="34"/>
      <c r="AI250" s="34"/>
      <c r="AJ250" s="34"/>
      <c r="AK250" s="34"/>
      <c r="AL250" s="34"/>
      <c r="AM250" s="34"/>
      <c r="AN250" s="34"/>
      <c r="AO250" s="34"/>
      <c r="AP250" s="34"/>
      <c r="AQ250" s="34"/>
      <c r="AR250" s="34"/>
      <c r="AS250" s="34"/>
      <c r="AT250" s="34"/>
      <c r="AU250" s="34"/>
      <c r="AV250" s="34"/>
      <c r="AW250" s="34"/>
      <c r="AX250" s="34"/>
      <c r="AY250" s="34"/>
      <c r="AZ250" s="34"/>
    </row>
    <row r="251" spans="1:52" x14ac:dyDescent="0.2">
      <c r="A251" s="34"/>
      <c r="B251" s="37" t="str">
        <f t="shared" si="7"/>
        <v xml:space="preserve"> </v>
      </c>
      <c r="C251" s="39" t="s">
        <v>255</v>
      </c>
      <c r="D251" s="39" t="s">
        <v>255</v>
      </c>
      <c r="E251" s="39" t="s">
        <v>255</v>
      </c>
      <c r="F251" s="38" t="str">
        <f t="shared" si="8"/>
        <v/>
      </c>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4"/>
      <c r="AO251" s="34"/>
      <c r="AP251" s="34"/>
      <c r="AQ251" s="34"/>
      <c r="AR251" s="34"/>
      <c r="AS251" s="34"/>
      <c r="AT251" s="34"/>
      <c r="AU251" s="34"/>
      <c r="AV251" s="34"/>
      <c r="AW251" s="34"/>
      <c r="AX251" s="34"/>
      <c r="AY251" s="34"/>
      <c r="AZ251" s="34"/>
    </row>
    <row r="252" spans="1:52" x14ac:dyDescent="0.2">
      <c r="A252" s="34"/>
      <c r="B252" s="37" t="str">
        <f t="shared" si="7"/>
        <v xml:space="preserve"> </v>
      </c>
      <c r="C252" s="39" t="s">
        <v>255</v>
      </c>
      <c r="D252" s="39" t="s">
        <v>255</v>
      </c>
      <c r="E252" s="39" t="s">
        <v>255</v>
      </c>
      <c r="F252" s="38" t="str">
        <f t="shared" si="8"/>
        <v/>
      </c>
      <c r="G252" s="34"/>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c r="AE252" s="34"/>
      <c r="AF252" s="34"/>
      <c r="AG252" s="34"/>
      <c r="AH252" s="34"/>
      <c r="AI252" s="34"/>
      <c r="AJ252" s="34"/>
      <c r="AK252" s="34"/>
      <c r="AL252" s="34"/>
      <c r="AM252" s="34"/>
      <c r="AN252" s="34"/>
      <c r="AO252" s="34"/>
      <c r="AP252" s="34"/>
      <c r="AQ252" s="34"/>
      <c r="AR252" s="34"/>
      <c r="AS252" s="34"/>
      <c r="AT252" s="34"/>
      <c r="AU252" s="34"/>
      <c r="AV252" s="34"/>
      <c r="AW252" s="34"/>
      <c r="AX252" s="34"/>
      <c r="AY252" s="34"/>
      <c r="AZ252" s="34"/>
    </row>
    <row r="253" spans="1:52" x14ac:dyDescent="0.2">
      <c r="A253" s="34"/>
      <c r="B253" s="37" t="str">
        <f t="shared" si="7"/>
        <v xml:space="preserve"> </v>
      </c>
      <c r="C253" s="39" t="s">
        <v>255</v>
      </c>
      <c r="D253" s="39" t="s">
        <v>255</v>
      </c>
      <c r="E253" s="39" t="s">
        <v>255</v>
      </c>
      <c r="F253" s="38" t="str">
        <f t="shared" si="8"/>
        <v/>
      </c>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row>
    <row r="254" spans="1:52" x14ac:dyDescent="0.2">
      <c r="A254" s="34"/>
      <c r="B254" s="37" t="str">
        <f t="shared" si="7"/>
        <v xml:space="preserve"> </v>
      </c>
      <c r="C254" s="39" t="s">
        <v>255</v>
      </c>
      <c r="D254" s="39" t="s">
        <v>255</v>
      </c>
      <c r="E254" s="39" t="s">
        <v>255</v>
      </c>
      <c r="F254" s="38" t="str">
        <f t="shared" si="8"/>
        <v/>
      </c>
      <c r="G254" s="34"/>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c r="AE254" s="34"/>
      <c r="AF254" s="34"/>
      <c r="AG254" s="34"/>
      <c r="AH254" s="34"/>
      <c r="AI254" s="34"/>
      <c r="AJ254" s="34"/>
      <c r="AK254" s="34"/>
      <c r="AL254" s="34"/>
      <c r="AM254" s="34"/>
      <c r="AN254" s="34"/>
      <c r="AO254" s="34"/>
      <c r="AP254" s="34"/>
      <c r="AQ254" s="34"/>
      <c r="AR254" s="34"/>
      <c r="AS254" s="34"/>
      <c r="AT254" s="34"/>
      <c r="AU254" s="34"/>
      <c r="AV254" s="34"/>
      <c r="AW254" s="34"/>
      <c r="AX254" s="34"/>
      <c r="AY254" s="34"/>
      <c r="AZ254" s="34"/>
    </row>
    <row r="255" spans="1:52" x14ac:dyDescent="0.2">
      <c r="A255" s="34"/>
      <c r="B255" s="37" t="str">
        <f t="shared" si="7"/>
        <v xml:space="preserve"> </v>
      </c>
      <c r="C255" s="39" t="s">
        <v>255</v>
      </c>
      <c r="D255" s="39" t="s">
        <v>255</v>
      </c>
      <c r="E255" s="39" t="s">
        <v>255</v>
      </c>
      <c r="F255" s="38" t="str">
        <f t="shared" si="8"/>
        <v/>
      </c>
      <c r="G255" s="34"/>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c r="AE255" s="34"/>
      <c r="AF255" s="34"/>
      <c r="AG255" s="34"/>
      <c r="AH255" s="34"/>
      <c r="AI255" s="34"/>
      <c r="AJ255" s="34"/>
      <c r="AK255" s="34"/>
      <c r="AL255" s="34"/>
      <c r="AM255" s="34"/>
      <c r="AN255" s="34"/>
      <c r="AO255" s="34"/>
      <c r="AP255" s="34"/>
      <c r="AQ255" s="34"/>
      <c r="AR255" s="34"/>
      <c r="AS255" s="34"/>
      <c r="AT255" s="34"/>
      <c r="AU255" s="34"/>
      <c r="AV255" s="34"/>
      <c r="AW255" s="34"/>
      <c r="AX255" s="34"/>
      <c r="AY255" s="34"/>
      <c r="AZ255" s="34"/>
    </row>
    <row r="256" spans="1:52" x14ac:dyDescent="0.2">
      <c r="A256" s="34"/>
      <c r="B256" s="37" t="str">
        <f t="shared" si="7"/>
        <v xml:space="preserve"> </v>
      </c>
      <c r="C256" s="39" t="s">
        <v>255</v>
      </c>
      <c r="D256" s="39" t="s">
        <v>255</v>
      </c>
      <c r="E256" s="39" t="s">
        <v>255</v>
      </c>
      <c r="F256" s="38" t="str">
        <f t="shared" si="8"/>
        <v/>
      </c>
      <c r="G256" s="34"/>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c r="AE256" s="34"/>
      <c r="AF256" s="34"/>
      <c r="AG256" s="34"/>
      <c r="AH256" s="34"/>
      <c r="AI256" s="34"/>
      <c r="AJ256" s="34"/>
      <c r="AK256" s="34"/>
      <c r="AL256" s="34"/>
      <c r="AM256" s="34"/>
      <c r="AN256" s="34"/>
      <c r="AO256" s="34"/>
      <c r="AP256" s="34"/>
      <c r="AQ256" s="34"/>
      <c r="AR256" s="34"/>
      <c r="AS256" s="34"/>
      <c r="AT256" s="34"/>
      <c r="AU256" s="34"/>
      <c r="AV256" s="34"/>
      <c r="AW256" s="34"/>
      <c r="AX256" s="34"/>
      <c r="AY256" s="34"/>
      <c r="AZ256" s="34"/>
    </row>
    <row r="257" spans="1:52" x14ac:dyDescent="0.2">
      <c r="A257" s="34"/>
      <c r="B257" s="37" t="str">
        <f t="shared" si="7"/>
        <v xml:space="preserve"> </v>
      </c>
      <c r="C257" s="39" t="s">
        <v>255</v>
      </c>
      <c r="D257" s="39" t="s">
        <v>255</v>
      </c>
      <c r="E257" s="39" t="s">
        <v>255</v>
      </c>
      <c r="F257" s="38" t="str">
        <f t="shared" si="8"/>
        <v/>
      </c>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row>
    <row r="258" spans="1:52" x14ac:dyDescent="0.2">
      <c r="A258" s="34"/>
      <c r="B258" s="37" t="str">
        <f t="shared" si="7"/>
        <v xml:space="preserve"> </v>
      </c>
      <c r="C258" s="39" t="s">
        <v>255</v>
      </c>
      <c r="D258" s="39" t="s">
        <v>255</v>
      </c>
      <c r="E258" s="39" t="s">
        <v>255</v>
      </c>
      <c r="F258" s="38" t="str">
        <f t="shared" si="8"/>
        <v/>
      </c>
      <c r="G258" s="34"/>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c r="AE258" s="34"/>
      <c r="AF258" s="34"/>
      <c r="AG258" s="34"/>
      <c r="AH258" s="34"/>
      <c r="AI258" s="34"/>
      <c r="AJ258" s="34"/>
      <c r="AK258" s="34"/>
      <c r="AL258" s="34"/>
      <c r="AM258" s="34"/>
      <c r="AN258" s="34"/>
      <c r="AO258" s="34"/>
      <c r="AP258" s="34"/>
      <c r="AQ258" s="34"/>
      <c r="AR258" s="34"/>
      <c r="AS258" s="34"/>
      <c r="AT258" s="34"/>
      <c r="AU258" s="34"/>
      <c r="AV258" s="34"/>
      <c r="AW258" s="34"/>
      <c r="AX258" s="34"/>
      <c r="AY258" s="34"/>
      <c r="AZ258" s="34"/>
    </row>
    <row r="259" spans="1:52" x14ac:dyDescent="0.2">
      <c r="A259" s="34"/>
      <c r="B259" s="37" t="str">
        <f t="shared" si="7"/>
        <v xml:space="preserve"> </v>
      </c>
      <c r="C259" s="39" t="s">
        <v>255</v>
      </c>
      <c r="D259" s="39" t="s">
        <v>255</v>
      </c>
      <c r="E259" s="39" t="s">
        <v>255</v>
      </c>
      <c r="F259" s="38" t="str">
        <f t="shared" si="8"/>
        <v/>
      </c>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row>
    <row r="260" spans="1:52" x14ac:dyDescent="0.2">
      <c r="A260" s="34"/>
      <c r="B260" s="37" t="str">
        <f t="shared" si="7"/>
        <v xml:space="preserve"> </v>
      </c>
      <c r="C260" s="39" t="s">
        <v>255</v>
      </c>
      <c r="D260" s="39" t="s">
        <v>255</v>
      </c>
      <c r="E260" s="39" t="s">
        <v>255</v>
      </c>
      <c r="F260" s="38" t="str">
        <f t="shared" si="8"/>
        <v/>
      </c>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row>
    <row r="261" spans="1:52" x14ac:dyDescent="0.2">
      <c r="A261" s="34"/>
      <c r="B261" s="37" t="str">
        <f t="shared" si="7"/>
        <v xml:space="preserve"> </v>
      </c>
      <c r="C261" s="39" t="s">
        <v>255</v>
      </c>
      <c r="D261" s="39" t="s">
        <v>255</v>
      </c>
      <c r="E261" s="39" t="s">
        <v>255</v>
      </c>
      <c r="F261" s="38" t="str">
        <f t="shared" si="8"/>
        <v/>
      </c>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row>
    <row r="262" spans="1:52" x14ac:dyDescent="0.2">
      <c r="A262" s="34"/>
      <c r="B262" s="37" t="str">
        <f t="shared" si="7"/>
        <v xml:space="preserve"> </v>
      </c>
      <c r="C262" s="39" t="s">
        <v>255</v>
      </c>
      <c r="D262" s="39" t="s">
        <v>255</v>
      </c>
      <c r="E262" s="39" t="s">
        <v>255</v>
      </c>
      <c r="F262" s="38" t="str">
        <f t="shared" si="8"/>
        <v/>
      </c>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row>
    <row r="263" spans="1:52" x14ac:dyDescent="0.2">
      <c r="A263" s="34"/>
      <c r="B263" s="37" t="str">
        <f t="shared" si="7"/>
        <v xml:space="preserve"> </v>
      </c>
      <c r="C263" s="39" t="s">
        <v>255</v>
      </c>
      <c r="D263" s="39" t="s">
        <v>255</v>
      </c>
      <c r="E263" s="39" t="s">
        <v>255</v>
      </c>
      <c r="F263" s="38" t="str">
        <f t="shared" si="8"/>
        <v/>
      </c>
      <c r="G263" s="34"/>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c r="AS263" s="34"/>
      <c r="AT263" s="34"/>
      <c r="AU263" s="34"/>
      <c r="AV263" s="34"/>
      <c r="AW263" s="34"/>
      <c r="AX263" s="34"/>
      <c r="AY263" s="34"/>
      <c r="AZ263" s="34"/>
    </row>
    <row r="264" spans="1:52" x14ac:dyDescent="0.2">
      <c r="A264" s="34"/>
      <c r="B264" s="37" t="str">
        <f t="shared" si="7"/>
        <v xml:space="preserve"> </v>
      </c>
      <c r="C264" s="39" t="s">
        <v>255</v>
      </c>
      <c r="D264" s="39" t="s">
        <v>255</v>
      </c>
      <c r="E264" s="39" t="s">
        <v>255</v>
      </c>
      <c r="F264" s="38" t="str">
        <f t="shared" si="8"/>
        <v/>
      </c>
      <c r="G264" s="34"/>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c r="AS264" s="34"/>
      <c r="AT264" s="34"/>
      <c r="AU264" s="34"/>
      <c r="AV264" s="34"/>
      <c r="AW264" s="34"/>
      <c r="AX264" s="34"/>
      <c r="AY264" s="34"/>
      <c r="AZ264" s="34"/>
    </row>
    <row r="265" spans="1:52" x14ac:dyDescent="0.2">
      <c r="A265" s="34"/>
      <c r="B265" s="37" t="str">
        <f t="shared" si="7"/>
        <v xml:space="preserve"> </v>
      </c>
      <c r="C265" s="39" t="s">
        <v>255</v>
      </c>
      <c r="D265" s="39" t="s">
        <v>255</v>
      </c>
      <c r="E265" s="39" t="s">
        <v>255</v>
      </c>
      <c r="F265" s="38" t="str">
        <f t="shared" si="8"/>
        <v/>
      </c>
      <c r="G265" s="34"/>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c r="AS265" s="34"/>
      <c r="AT265" s="34"/>
      <c r="AU265" s="34"/>
      <c r="AV265" s="34"/>
      <c r="AW265" s="34"/>
      <c r="AX265" s="34"/>
      <c r="AY265" s="34"/>
      <c r="AZ265" s="34"/>
    </row>
    <row r="266" spans="1:52" x14ac:dyDescent="0.2">
      <c r="A266" s="34"/>
      <c r="B266" s="37" t="str">
        <f t="shared" si="7"/>
        <v xml:space="preserve"> </v>
      </c>
      <c r="C266" s="39" t="s">
        <v>255</v>
      </c>
      <c r="D266" s="39" t="s">
        <v>255</v>
      </c>
      <c r="E266" s="39" t="s">
        <v>255</v>
      </c>
      <c r="F266" s="38" t="str">
        <f t="shared" si="8"/>
        <v/>
      </c>
      <c r="G266" s="34"/>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row>
    <row r="267" spans="1:52" x14ac:dyDescent="0.2">
      <c r="A267" s="34"/>
      <c r="B267" s="37" t="str">
        <f t="shared" si="7"/>
        <v xml:space="preserve"> </v>
      </c>
      <c r="C267" s="39" t="s">
        <v>255</v>
      </c>
      <c r="D267" s="39" t="s">
        <v>255</v>
      </c>
      <c r="E267" s="39" t="s">
        <v>255</v>
      </c>
      <c r="F267" s="38" t="str">
        <f t="shared" si="8"/>
        <v/>
      </c>
      <c r="G267" s="34"/>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row>
    <row r="268" spans="1:52" x14ac:dyDescent="0.2">
      <c r="A268" s="34"/>
      <c r="B268" s="37" t="str">
        <f t="shared" si="7"/>
        <v xml:space="preserve"> </v>
      </c>
      <c r="C268" s="39" t="s">
        <v>255</v>
      </c>
      <c r="D268" s="39" t="s">
        <v>255</v>
      </c>
      <c r="E268" s="39" t="s">
        <v>255</v>
      </c>
      <c r="F268" s="38" t="str">
        <f t="shared" si="8"/>
        <v/>
      </c>
      <c r="G268" s="34"/>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c r="AS268" s="34"/>
      <c r="AT268" s="34"/>
      <c r="AU268" s="34"/>
      <c r="AV268" s="34"/>
      <c r="AW268" s="34"/>
      <c r="AX268" s="34"/>
      <c r="AY268" s="34"/>
      <c r="AZ268" s="34"/>
    </row>
    <row r="269" spans="1:52" x14ac:dyDescent="0.2">
      <c r="A269" s="34"/>
      <c r="B269" s="37" t="str">
        <f t="shared" si="7"/>
        <v xml:space="preserve"> </v>
      </c>
      <c r="C269" s="39" t="s">
        <v>255</v>
      </c>
      <c r="D269" s="39" t="s">
        <v>255</v>
      </c>
      <c r="E269" s="39" t="s">
        <v>255</v>
      </c>
      <c r="F269" s="38" t="str">
        <f t="shared" si="8"/>
        <v/>
      </c>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c r="AS269" s="34"/>
      <c r="AT269" s="34"/>
      <c r="AU269" s="34"/>
      <c r="AV269" s="34"/>
      <c r="AW269" s="34"/>
      <c r="AX269" s="34"/>
      <c r="AY269" s="34"/>
      <c r="AZ269" s="34"/>
    </row>
    <row r="270" spans="1:52" x14ac:dyDescent="0.2">
      <c r="A270" s="34"/>
      <c r="B270" s="37" t="str">
        <f t="shared" si="7"/>
        <v xml:space="preserve"> </v>
      </c>
      <c r="C270" s="39" t="s">
        <v>255</v>
      </c>
      <c r="D270" s="39" t="s">
        <v>255</v>
      </c>
      <c r="E270" s="39" t="s">
        <v>255</v>
      </c>
      <c r="F270" s="38" t="str">
        <f t="shared" si="8"/>
        <v/>
      </c>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row>
    <row r="271" spans="1:52" x14ac:dyDescent="0.2">
      <c r="A271" s="34"/>
      <c r="B271" s="37" t="str">
        <f t="shared" si="7"/>
        <v xml:space="preserve"> </v>
      </c>
      <c r="C271" s="39" t="s">
        <v>255</v>
      </c>
      <c r="D271" s="39" t="s">
        <v>255</v>
      </c>
      <c r="E271" s="39" t="s">
        <v>255</v>
      </c>
      <c r="F271" s="38" t="str">
        <f t="shared" si="8"/>
        <v/>
      </c>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row>
    <row r="272" spans="1:52" x14ac:dyDescent="0.2">
      <c r="A272" s="34"/>
      <c r="B272" s="37" t="str">
        <f t="shared" si="7"/>
        <v xml:space="preserve"> </v>
      </c>
      <c r="C272" s="39" t="s">
        <v>255</v>
      </c>
      <c r="D272" s="39" t="s">
        <v>255</v>
      </c>
      <c r="E272" s="39" t="s">
        <v>255</v>
      </c>
      <c r="F272" s="38" t="str">
        <f t="shared" si="8"/>
        <v/>
      </c>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row>
    <row r="273" spans="1:52" x14ac:dyDescent="0.2">
      <c r="A273" s="34"/>
      <c r="B273" s="37" t="str">
        <f t="shared" si="7"/>
        <v xml:space="preserve"> </v>
      </c>
      <c r="C273" s="39" t="s">
        <v>255</v>
      </c>
      <c r="D273" s="39" t="s">
        <v>255</v>
      </c>
      <c r="E273" s="39" t="s">
        <v>255</v>
      </c>
      <c r="F273" s="38" t="str">
        <f t="shared" si="8"/>
        <v/>
      </c>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c r="AV273" s="34"/>
      <c r="AW273" s="34"/>
      <c r="AX273" s="34"/>
      <c r="AY273" s="34"/>
      <c r="AZ273" s="34"/>
    </row>
    <row r="274" spans="1:52" x14ac:dyDescent="0.2">
      <c r="A274" s="34"/>
      <c r="B274" s="37" t="str">
        <f t="shared" ref="B274:B337" si="9">IF(LEFT(C274, 2)="20", "W" &amp; C274, C274)</f>
        <v xml:space="preserve"> </v>
      </c>
      <c r="C274" s="39" t="s">
        <v>255</v>
      </c>
      <c r="D274" s="39" t="s">
        <v>255</v>
      </c>
      <c r="E274" s="39" t="s">
        <v>255</v>
      </c>
      <c r="F274" s="38" t="str">
        <f t="shared" ref="F274:F337" si="10">IF(C274= " ", "", IFERROR(VLOOKUP(B274, ExtMarksRHS, 4, FALSE), "X"))</f>
        <v/>
      </c>
      <c r="G274" s="34"/>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c r="AE274" s="34"/>
      <c r="AF274" s="34"/>
      <c r="AG274" s="34"/>
      <c r="AH274" s="34"/>
      <c r="AI274" s="34"/>
      <c r="AJ274" s="34"/>
      <c r="AK274" s="34"/>
      <c r="AL274" s="34"/>
      <c r="AM274" s="34"/>
      <c r="AN274" s="34"/>
      <c r="AO274" s="34"/>
      <c r="AP274" s="34"/>
      <c r="AQ274" s="34"/>
      <c r="AR274" s="34"/>
      <c r="AS274" s="34"/>
      <c r="AT274" s="34"/>
      <c r="AU274" s="34"/>
      <c r="AV274" s="34"/>
      <c r="AW274" s="34"/>
      <c r="AX274" s="34"/>
      <c r="AY274" s="34"/>
      <c r="AZ274" s="34"/>
    </row>
    <row r="275" spans="1:52" x14ac:dyDescent="0.2">
      <c r="A275" s="34"/>
      <c r="B275" s="37" t="str">
        <f t="shared" si="9"/>
        <v xml:space="preserve"> </v>
      </c>
      <c r="C275" s="39" t="s">
        <v>255</v>
      </c>
      <c r="D275" s="39" t="s">
        <v>255</v>
      </c>
      <c r="E275" s="39" t="s">
        <v>255</v>
      </c>
      <c r="F275" s="38" t="str">
        <f t="shared" si="10"/>
        <v/>
      </c>
      <c r="G275" s="34"/>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c r="AS275" s="34"/>
      <c r="AT275" s="34"/>
      <c r="AU275" s="34"/>
      <c r="AV275" s="34"/>
      <c r="AW275" s="34"/>
      <c r="AX275" s="34"/>
      <c r="AY275" s="34"/>
      <c r="AZ275" s="34"/>
    </row>
    <row r="276" spans="1:52" x14ac:dyDescent="0.2">
      <c r="A276" s="34"/>
      <c r="B276" s="37" t="str">
        <f t="shared" si="9"/>
        <v xml:space="preserve"> </v>
      </c>
      <c r="C276" s="39" t="s">
        <v>255</v>
      </c>
      <c r="D276" s="39" t="s">
        <v>255</v>
      </c>
      <c r="E276" s="39" t="s">
        <v>255</v>
      </c>
      <c r="F276" s="38" t="str">
        <f t="shared" si="10"/>
        <v/>
      </c>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c r="AS276" s="34"/>
      <c r="AT276" s="34"/>
      <c r="AU276" s="34"/>
      <c r="AV276" s="34"/>
      <c r="AW276" s="34"/>
      <c r="AX276" s="34"/>
      <c r="AY276" s="34"/>
      <c r="AZ276" s="34"/>
    </row>
    <row r="277" spans="1:52" x14ac:dyDescent="0.2">
      <c r="A277" s="34"/>
      <c r="B277" s="37" t="str">
        <f t="shared" si="9"/>
        <v xml:space="preserve"> </v>
      </c>
      <c r="C277" s="39" t="s">
        <v>255</v>
      </c>
      <c r="D277" s="39" t="s">
        <v>255</v>
      </c>
      <c r="E277" s="39" t="s">
        <v>255</v>
      </c>
      <c r="F277" s="38" t="str">
        <f t="shared" si="10"/>
        <v/>
      </c>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row>
    <row r="278" spans="1:52" x14ac:dyDescent="0.2">
      <c r="A278" s="34"/>
      <c r="B278" s="37" t="str">
        <f t="shared" si="9"/>
        <v xml:space="preserve"> </v>
      </c>
      <c r="C278" s="39" t="s">
        <v>255</v>
      </c>
      <c r="D278" s="39" t="s">
        <v>255</v>
      </c>
      <c r="E278" s="39" t="s">
        <v>255</v>
      </c>
      <c r="F278" s="38" t="str">
        <f t="shared" si="10"/>
        <v/>
      </c>
      <c r="G278" s="34"/>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c r="AE278" s="34"/>
      <c r="AF278" s="34"/>
      <c r="AG278" s="34"/>
      <c r="AH278" s="34"/>
      <c r="AI278" s="34"/>
      <c r="AJ278" s="34"/>
      <c r="AK278" s="34"/>
      <c r="AL278" s="34"/>
      <c r="AM278" s="34"/>
      <c r="AN278" s="34"/>
      <c r="AO278" s="34"/>
      <c r="AP278" s="34"/>
      <c r="AQ278" s="34"/>
      <c r="AR278" s="34"/>
      <c r="AS278" s="34"/>
      <c r="AT278" s="34"/>
      <c r="AU278" s="34"/>
      <c r="AV278" s="34"/>
      <c r="AW278" s="34"/>
      <c r="AX278" s="34"/>
      <c r="AY278" s="34"/>
      <c r="AZ278" s="34"/>
    </row>
    <row r="279" spans="1:52" x14ac:dyDescent="0.2">
      <c r="A279" s="34"/>
      <c r="B279" s="37" t="str">
        <f t="shared" si="9"/>
        <v xml:space="preserve"> </v>
      </c>
      <c r="C279" s="39" t="s">
        <v>255</v>
      </c>
      <c r="D279" s="39" t="s">
        <v>255</v>
      </c>
      <c r="E279" s="39" t="s">
        <v>255</v>
      </c>
      <c r="F279" s="38" t="str">
        <f t="shared" si="10"/>
        <v/>
      </c>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row>
    <row r="280" spans="1:52" x14ac:dyDescent="0.2">
      <c r="A280" s="34"/>
      <c r="B280" s="37" t="str">
        <f t="shared" si="9"/>
        <v xml:space="preserve"> </v>
      </c>
      <c r="C280" s="39" t="s">
        <v>255</v>
      </c>
      <c r="D280" s="39" t="s">
        <v>255</v>
      </c>
      <c r="E280" s="39" t="s">
        <v>255</v>
      </c>
      <c r="F280" s="38" t="str">
        <f t="shared" si="10"/>
        <v/>
      </c>
      <c r="G280" s="34"/>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c r="AS280" s="34"/>
      <c r="AT280" s="34"/>
      <c r="AU280" s="34"/>
      <c r="AV280" s="34"/>
      <c r="AW280" s="34"/>
      <c r="AX280" s="34"/>
      <c r="AY280" s="34"/>
      <c r="AZ280" s="34"/>
    </row>
    <row r="281" spans="1:52" x14ac:dyDescent="0.2">
      <c r="A281" s="34"/>
      <c r="B281" s="37" t="str">
        <f t="shared" si="9"/>
        <v xml:space="preserve"> </v>
      </c>
      <c r="C281" s="39" t="s">
        <v>255</v>
      </c>
      <c r="D281" s="39" t="s">
        <v>255</v>
      </c>
      <c r="E281" s="39" t="s">
        <v>255</v>
      </c>
      <c r="F281" s="38" t="str">
        <f t="shared" si="10"/>
        <v/>
      </c>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row>
    <row r="282" spans="1:52" x14ac:dyDescent="0.2">
      <c r="A282" s="34"/>
      <c r="B282" s="37" t="str">
        <f t="shared" si="9"/>
        <v xml:space="preserve"> </v>
      </c>
      <c r="C282" s="39" t="s">
        <v>255</v>
      </c>
      <c r="D282" s="39" t="s">
        <v>255</v>
      </c>
      <c r="E282" s="39" t="s">
        <v>255</v>
      </c>
      <c r="F282" s="38" t="str">
        <f t="shared" si="10"/>
        <v/>
      </c>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c r="AS282" s="34"/>
      <c r="AT282" s="34"/>
      <c r="AU282" s="34"/>
      <c r="AV282" s="34"/>
      <c r="AW282" s="34"/>
      <c r="AX282" s="34"/>
      <c r="AY282" s="34"/>
      <c r="AZ282" s="34"/>
    </row>
    <row r="283" spans="1:52" x14ac:dyDescent="0.2">
      <c r="A283" s="34"/>
      <c r="B283" s="37" t="str">
        <f t="shared" si="9"/>
        <v xml:space="preserve"> </v>
      </c>
      <c r="C283" s="39" t="s">
        <v>255</v>
      </c>
      <c r="D283" s="39" t="s">
        <v>255</v>
      </c>
      <c r="E283" s="39" t="s">
        <v>255</v>
      </c>
      <c r="F283" s="38" t="str">
        <f t="shared" si="10"/>
        <v/>
      </c>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row>
    <row r="284" spans="1:52" x14ac:dyDescent="0.2">
      <c r="A284" s="34"/>
      <c r="B284" s="37" t="str">
        <f t="shared" si="9"/>
        <v xml:space="preserve"> </v>
      </c>
      <c r="C284" s="39" t="s">
        <v>255</v>
      </c>
      <c r="D284" s="39" t="s">
        <v>255</v>
      </c>
      <c r="E284" s="39" t="s">
        <v>255</v>
      </c>
      <c r="F284" s="38" t="str">
        <f t="shared" si="10"/>
        <v/>
      </c>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row>
    <row r="285" spans="1:52" x14ac:dyDescent="0.2">
      <c r="A285" s="34"/>
      <c r="B285" s="37" t="str">
        <f t="shared" si="9"/>
        <v xml:space="preserve"> </v>
      </c>
      <c r="C285" s="39" t="s">
        <v>255</v>
      </c>
      <c r="D285" s="39" t="s">
        <v>255</v>
      </c>
      <c r="E285" s="39" t="s">
        <v>255</v>
      </c>
      <c r="F285" s="38" t="str">
        <f t="shared" si="10"/>
        <v/>
      </c>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row>
    <row r="286" spans="1:52" x14ac:dyDescent="0.2">
      <c r="A286" s="34"/>
      <c r="B286" s="37" t="str">
        <f t="shared" si="9"/>
        <v xml:space="preserve"> </v>
      </c>
      <c r="C286" s="39" t="s">
        <v>255</v>
      </c>
      <c r="D286" s="39" t="s">
        <v>255</v>
      </c>
      <c r="E286" s="39" t="s">
        <v>255</v>
      </c>
      <c r="F286" s="38" t="str">
        <f t="shared" si="10"/>
        <v/>
      </c>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row>
    <row r="287" spans="1:52" x14ac:dyDescent="0.2">
      <c r="A287" s="34"/>
      <c r="B287" s="37" t="str">
        <f t="shared" si="9"/>
        <v xml:space="preserve"> </v>
      </c>
      <c r="C287" s="39" t="s">
        <v>255</v>
      </c>
      <c r="D287" s="39" t="s">
        <v>255</v>
      </c>
      <c r="E287" s="39" t="s">
        <v>255</v>
      </c>
      <c r="F287" s="38" t="str">
        <f t="shared" si="10"/>
        <v/>
      </c>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row>
    <row r="288" spans="1:52" x14ac:dyDescent="0.2">
      <c r="A288" s="34"/>
      <c r="B288" s="37" t="str">
        <f t="shared" si="9"/>
        <v xml:space="preserve"> </v>
      </c>
      <c r="C288" s="39" t="s">
        <v>255</v>
      </c>
      <c r="D288" s="39" t="s">
        <v>255</v>
      </c>
      <c r="E288" s="39" t="s">
        <v>255</v>
      </c>
      <c r="F288" s="38" t="str">
        <f t="shared" si="10"/>
        <v/>
      </c>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row>
    <row r="289" spans="1:52" x14ac:dyDescent="0.2">
      <c r="A289" s="34"/>
      <c r="B289" s="37" t="str">
        <f t="shared" si="9"/>
        <v xml:space="preserve"> </v>
      </c>
      <c r="C289" s="39" t="s">
        <v>255</v>
      </c>
      <c r="D289" s="39" t="s">
        <v>255</v>
      </c>
      <c r="E289" s="39" t="s">
        <v>255</v>
      </c>
      <c r="F289" s="38" t="str">
        <f t="shared" si="10"/>
        <v/>
      </c>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row>
    <row r="290" spans="1:52" x14ac:dyDescent="0.2">
      <c r="A290" s="34"/>
      <c r="B290" s="37" t="str">
        <f t="shared" si="9"/>
        <v xml:space="preserve"> </v>
      </c>
      <c r="C290" s="39" t="s">
        <v>255</v>
      </c>
      <c r="D290" s="39" t="s">
        <v>255</v>
      </c>
      <c r="E290" s="39" t="s">
        <v>255</v>
      </c>
      <c r="F290" s="38" t="str">
        <f t="shared" si="10"/>
        <v/>
      </c>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row>
    <row r="291" spans="1:52" x14ac:dyDescent="0.2">
      <c r="A291" s="34"/>
      <c r="B291" s="37" t="str">
        <f t="shared" si="9"/>
        <v xml:space="preserve"> </v>
      </c>
      <c r="C291" s="39" t="s">
        <v>255</v>
      </c>
      <c r="D291" s="39" t="s">
        <v>255</v>
      </c>
      <c r="E291" s="39" t="s">
        <v>255</v>
      </c>
      <c r="F291" s="38" t="str">
        <f t="shared" si="10"/>
        <v/>
      </c>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row>
    <row r="292" spans="1:52" x14ac:dyDescent="0.2">
      <c r="A292" s="34"/>
      <c r="B292" s="37" t="str">
        <f t="shared" si="9"/>
        <v xml:space="preserve"> </v>
      </c>
      <c r="C292" s="39" t="s">
        <v>255</v>
      </c>
      <c r="D292" s="39" t="s">
        <v>255</v>
      </c>
      <c r="E292" s="39" t="s">
        <v>255</v>
      </c>
      <c r="F292" s="38" t="str">
        <f t="shared" si="10"/>
        <v/>
      </c>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row>
    <row r="293" spans="1:52" x14ac:dyDescent="0.2">
      <c r="A293" s="34"/>
      <c r="B293" s="37" t="str">
        <f t="shared" si="9"/>
        <v xml:space="preserve"> </v>
      </c>
      <c r="C293" s="39" t="s">
        <v>255</v>
      </c>
      <c r="D293" s="39" t="s">
        <v>255</v>
      </c>
      <c r="E293" s="39" t="s">
        <v>255</v>
      </c>
      <c r="F293" s="38" t="str">
        <f t="shared" si="10"/>
        <v/>
      </c>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row>
    <row r="294" spans="1:52" x14ac:dyDescent="0.2">
      <c r="A294" s="34"/>
      <c r="B294" s="37" t="str">
        <f t="shared" si="9"/>
        <v xml:space="preserve"> </v>
      </c>
      <c r="C294" s="39" t="s">
        <v>255</v>
      </c>
      <c r="D294" s="39" t="s">
        <v>255</v>
      </c>
      <c r="E294" s="39" t="s">
        <v>255</v>
      </c>
      <c r="F294" s="38" t="str">
        <f t="shared" si="10"/>
        <v/>
      </c>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row>
    <row r="295" spans="1:52" x14ac:dyDescent="0.2">
      <c r="A295" s="34"/>
      <c r="B295" s="37" t="str">
        <f t="shared" si="9"/>
        <v xml:space="preserve"> </v>
      </c>
      <c r="C295" s="39" t="s">
        <v>255</v>
      </c>
      <c r="D295" s="39" t="s">
        <v>255</v>
      </c>
      <c r="E295" s="39" t="s">
        <v>255</v>
      </c>
      <c r="F295" s="38" t="str">
        <f t="shared" si="10"/>
        <v/>
      </c>
      <c r="G295" s="34"/>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c r="AE295" s="34"/>
      <c r="AF295" s="34"/>
      <c r="AG295" s="34"/>
      <c r="AH295" s="34"/>
      <c r="AI295" s="34"/>
      <c r="AJ295" s="34"/>
      <c r="AK295" s="34"/>
      <c r="AL295" s="34"/>
      <c r="AM295" s="34"/>
      <c r="AN295" s="34"/>
      <c r="AO295" s="34"/>
      <c r="AP295" s="34"/>
      <c r="AQ295" s="34"/>
      <c r="AR295" s="34"/>
      <c r="AS295" s="34"/>
      <c r="AT295" s="34"/>
      <c r="AU295" s="34"/>
      <c r="AV295" s="34"/>
      <c r="AW295" s="34"/>
      <c r="AX295" s="34"/>
      <c r="AY295" s="34"/>
      <c r="AZ295" s="34"/>
    </row>
    <row r="296" spans="1:52" x14ac:dyDescent="0.2">
      <c r="A296" s="34"/>
      <c r="B296" s="37" t="str">
        <f t="shared" si="9"/>
        <v xml:space="preserve"> </v>
      </c>
      <c r="C296" s="39" t="s">
        <v>255</v>
      </c>
      <c r="D296" s="39" t="s">
        <v>255</v>
      </c>
      <c r="E296" s="39" t="s">
        <v>255</v>
      </c>
      <c r="F296" s="38" t="str">
        <f t="shared" si="10"/>
        <v/>
      </c>
      <c r="G296" s="34"/>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c r="AE296" s="34"/>
      <c r="AF296" s="34"/>
      <c r="AG296" s="34"/>
      <c r="AH296" s="34"/>
      <c r="AI296" s="34"/>
      <c r="AJ296" s="34"/>
      <c r="AK296" s="34"/>
      <c r="AL296" s="34"/>
      <c r="AM296" s="34"/>
      <c r="AN296" s="34"/>
      <c r="AO296" s="34"/>
      <c r="AP296" s="34"/>
      <c r="AQ296" s="34"/>
      <c r="AR296" s="34"/>
      <c r="AS296" s="34"/>
      <c r="AT296" s="34"/>
      <c r="AU296" s="34"/>
      <c r="AV296" s="34"/>
      <c r="AW296" s="34"/>
      <c r="AX296" s="34"/>
      <c r="AY296" s="34"/>
      <c r="AZ296" s="34"/>
    </row>
    <row r="297" spans="1:52" x14ac:dyDescent="0.2">
      <c r="A297" s="34"/>
      <c r="B297" s="37" t="str">
        <f t="shared" si="9"/>
        <v xml:space="preserve"> </v>
      </c>
      <c r="C297" s="39" t="s">
        <v>255</v>
      </c>
      <c r="D297" s="39" t="s">
        <v>255</v>
      </c>
      <c r="E297" s="39" t="s">
        <v>255</v>
      </c>
      <c r="F297" s="38" t="str">
        <f t="shared" si="10"/>
        <v/>
      </c>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row>
    <row r="298" spans="1:52" x14ac:dyDescent="0.2">
      <c r="A298" s="34"/>
      <c r="B298" s="37" t="str">
        <f t="shared" si="9"/>
        <v xml:space="preserve"> </v>
      </c>
      <c r="C298" s="39" t="s">
        <v>255</v>
      </c>
      <c r="D298" s="39" t="s">
        <v>255</v>
      </c>
      <c r="E298" s="39" t="s">
        <v>255</v>
      </c>
      <c r="F298" s="38" t="str">
        <f t="shared" si="10"/>
        <v/>
      </c>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row>
    <row r="299" spans="1:52" x14ac:dyDescent="0.2">
      <c r="A299" s="34"/>
      <c r="B299" s="37" t="str">
        <f t="shared" si="9"/>
        <v xml:space="preserve"> </v>
      </c>
      <c r="C299" s="39" t="s">
        <v>255</v>
      </c>
      <c r="D299" s="39" t="s">
        <v>255</v>
      </c>
      <c r="E299" s="39" t="s">
        <v>255</v>
      </c>
      <c r="F299" s="38" t="str">
        <f t="shared" si="10"/>
        <v/>
      </c>
      <c r="G299" s="34"/>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c r="AE299" s="34"/>
      <c r="AF299" s="34"/>
      <c r="AG299" s="34"/>
      <c r="AH299" s="34"/>
      <c r="AI299" s="34"/>
      <c r="AJ299" s="34"/>
      <c r="AK299" s="34"/>
      <c r="AL299" s="34"/>
      <c r="AM299" s="34"/>
      <c r="AN299" s="34"/>
      <c r="AO299" s="34"/>
      <c r="AP299" s="34"/>
      <c r="AQ299" s="34"/>
      <c r="AR299" s="34"/>
      <c r="AS299" s="34"/>
      <c r="AT299" s="34"/>
      <c r="AU299" s="34"/>
      <c r="AV299" s="34"/>
      <c r="AW299" s="34"/>
      <c r="AX299" s="34"/>
      <c r="AY299" s="34"/>
      <c r="AZ299" s="34"/>
    </row>
    <row r="300" spans="1:52" x14ac:dyDescent="0.2">
      <c r="A300" s="34"/>
      <c r="B300" s="37" t="str">
        <f t="shared" si="9"/>
        <v xml:space="preserve"> </v>
      </c>
      <c r="C300" s="39" t="s">
        <v>255</v>
      </c>
      <c r="D300" s="39" t="s">
        <v>255</v>
      </c>
      <c r="E300" s="39" t="s">
        <v>255</v>
      </c>
      <c r="F300" s="38" t="str">
        <f t="shared" si="10"/>
        <v/>
      </c>
      <c r="G300" s="34"/>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c r="AE300" s="34"/>
      <c r="AF300" s="34"/>
      <c r="AG300" s="34"/>
      <c r="AH300" s="34"/>
      <c r="AI300" s="34"/>
      <c r="AJ300" s="34"/>
      <c r="AK300" s="34"/>
      <c r="AL300" s="34"/>
      <c r="AM300" s="34"/>
      <c r="AN300" s="34"/>
      <c r="AO300" s="34"/>
      <c r="AP300" s="34"/>
      <c r="AQ300" s="34"/>
      <c r="AR300" s="34"/>
      <c r="AS300" s="34"/>
      <c r="AT300" s="34"/>
      <c r="AU300" s="34"/>
      <c r="AV300" s="34"/>
      <c r="AW300" s="34"/>
      <c r="AX300" s="34"/>
      <c r="AY300" s="34"/>
      <c r="AZ300" s="34"/>
    </row>
    <row r="301" spans="1:52" x14ac:dyDescent="0.2">
      <c r="A301" s="34"/>
      <c r="B301" s="37" t="str">
        <f t="shared" si="9"/>
        <v xml:space="preserve"> </v>
      </c>
      <c r="C301" s="39" t="s">
        <v>255</v>
      </c>
      <c r="D301" s="39" t="s">
        <v>255</v>
      </c>
      <c r="E301" s="39" t="s">
        <v>255</v>
      </c>
      <c r="F301" s="38" t="str">
        <f t="shared" si="10"/>
        <v/>
      </c>
      <c r="G301" s="34"/>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c r="AE301" s="34"/>
      <c r="AF301" s="34"/>
      <c r="AG301" s="34"/>
      <c r="AH301" s="34"/>
      <c r="AI301" s="34"/>
      <c r="AJ301" s="34"/>
      <c r="AK301" s="34"/>
      <c r="AL301" s="34"/>
      <c r="AM301" s="34"/>
      <c r="AN301" s="34"/>
      <c r="AO301" s="34"/>
      <c r="AP301" s="34"/>
      <c r="AQ301" s="34"/>
      <c r="AR301" s="34"/>
      <c r="AS301" s="34"/>
      <c r="AT301" s="34"/>
      <c r="AU301" s="34"/>
      <c r="AV301" s="34"/>
      <c r="AW301" s="34"/>
      <c r="AX301" s="34"/>
      <c r="AY301" s="34"/>
      <c r="AZ301" s="34"/>
    </row>
    <row r="302" spans="1:52" x14ac:dyDescent="0.2">
      <c r="A302" s="34"/>
      <c r="B302" s="37" t="str">
        <f t="shared" si="9"/>
        <v xml:space="preserve"> </v>
      </c>
      <c r="C302" s="39" t="s">
        <v>255</v>
      </c>
      <c r="D302" s="39" t="s">
        <v>255</v>
      </c>
      <c r="E302" s="39" t="s">
        <v>255</v>
      </c>
      <c r="F302" s="38" t="str">
        <f t="shared" si="10"/>
        <v/>
      </c>
      <c r="G302" s="34"/>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c r="AE302" s="34"/>
      <c r="AF302" s="34"/>
      <c r="AG302" s="34"/>
      <c r="AH302" s="34"/>
      <c r="AI302" s="34"/>
      <c r="AJ302" s="34"/>
      <c r="AK302" s="34"/>
      <c r="AL302" s="34"/>
      <c r="AM302" s="34"/>
      <c r="AN302" s="34"/>
      <c r="AO302" s="34"/>
      <c r="AP302" s="34"/>
      <c r="AQ302" s="34"/>
      <c r="AR302" s="34"/>
      <c r="AS302" s="34"/>
      <c r="AT302" s="34"/>
      <c r="AU302" s="34"/>
      <c r="AV302" s="34"/>
      <c r="AW302" s="34"/>
      <c r="AX302" s="34"/>
      <c r="AY302" s="34"/>
      <c r="AZ302" s="34"/>
    </row>
    <row r="303" spans="1:52" x14ac:dyDescent="0.2">
      <c r="A303" s="34"/>
      <c r="B303" s="37" t="str">
        <f t="shared" si="9"/>
        <v xml:space="preserve"> </v>
      </c>
      <c r="C303" s="39" t="s">
        <v>255</v>
      </c>
      <c r="D303" s="39" t="s">
        <v>255</v>
      </c>
      <c r="E303" s="39" t="s">
        <v>255</v>
      </c>
      <c r="F303" s="38" t="str">
        <f t="shared" si="10"/>
        <v/>
      </c>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c r="AS303" s="34"/>
      <c r="AT303" s="34"/>
      <c r="AU303" s="34"/>
      <c r="AV303" s="34"/>
      <c r="AW303" s="34"/>
      <c r="AX303" s="34"/>
      <c r="AY303" s="34"/>
      <c r="AZ303" s="34"/>
    </row>
    <row r="304" spans="1:52" x14ac:dyDescent="0.2">
      <c r="A304" s="34"/>
      <c r="B304" s="37" t="str">
        <f t="shared" si="9"/>
        <v xml:space="preserve"> </v>
      </c>
      <c r="C304" s="39" t="s">
        <v>255</v>
      </c>
      <c r="D304" s="39" t="s">
        <v>255</v>
      </c>
      <c r="E304" s="39" t="s">
        <v>255</v>
      </c>
      <c r="F304" s="38" t="str">
        <f t="shared" si="10"/>
        <v/>
      </c>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row>
    <row r="305" spans="1:52" x14ac:dyDescent="0.2">
      <c r="A305" s="34"/>
      <c r="B305" s="37" t="str">
        <f t="shared" si="9"/>
        <v xml:space="preserve"> </v>
      </c>
      <c r="C305" s="39" t="s">
        <v>255</v>
      </c>
      <c r="D305" s="39" t="s">
        <v>255</v>
      </c>
      <c r="E305" s="39" t="s">
        <v>255</v>
      </c>
      <c r="F305" s="38" t="str">
        <f t="shared" si="10"/>
        <v/>
      </c>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row>
    <row r="306" spans="1:52" x14ac:dyDescent="0.2">
      <c r="A306" s="34"/>
      <c r="B306" s="37" t="str">
        <f t="shared" si="9"/>
        <v xml:space="preserve"> </v>
      </c>
      <c r="C306" s="39" t="s">
        <v>255</v>
      </c>
      <c r="D306" s="39" t="s">
        <v>255</v>
      </c>
      <c r="E306" s="39" t="s">
        <v>255</v>
      </c>
      <c r="F306" s="38" t="str">
        <f t="shared" si="10"/>
        <v/>
      </c>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c r="AS306" s="34"/>
      <c r="AT306" s="34"/>
      <c r="AU306" s="34"/>
      <c r="AV306" s="34"/>
      <c r="AW306" s="34"/>
      <c r="AX306" s="34"/>
      <c r="AY306" s="34"/>
      <c r="AZ306" s="34"/>
    </row>
    <row r="307" spans="1:52" x14ac:dyDescent="0.2">
      <c r="A307" s="34"/>
      <c r="B307" s="37" t="str">
        <f t="shared" si="9"/>
        <v xml:space="preserve"> </v>
      </c>
      <c r="C307" s="39" t="s">
        <v>255</v>
      </c>
      <c r="D307" s="39" t="s">
        <v>255</v>
      </c>
      <c r="E307" s="39" t="s">
        <v>255</v>
      </c>
      <c r="F307" s="38" t="str">
        <f t="shared" si="10"/>
        <v/>
      </c>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c r="AS307" s="34"/>
      <c r="AT307" s="34"/>
      <c r="AU307" s="34"/>
      <c r="AV307" s="34"/>
      <c r="AW307" s="34"/>
      <c r="AX307" s="34"/>
      <c r="AY307" s="34"/>
      <c r="AZ307" s="34"/>
    </row>
    <row r="308" spans="1:52" x14ac:dyDescent="0.2">
      <c r="A308" s="34"/>
      <c r="B308" s="37" t="str">
        <f t="shared" si="9"/>
        <v xml:space="preserve"> </v>
      </c>
      <c r="C308" s="39" t="s">
        <v>255</v>
      </c>
      <c r="D308" s="39" t="s">
        <v>255</v>
      </c>
      <c r="E308" s="39" t="s">
        <v>255</v>
      </c>
      <c r="F308" s="38" t="str">
        <f t="shared" si="10"/>
        <v/>
      </c>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c r="AS308" s="34"/>
      <c r="AT308" s="34"/>
      <c r="AU308" s="34"/>
      <c r="AV308" s="34"/>
      <c r="AW308" s="34"/>
      <c r="AX308" s="34"/>
      <c r="AY308" s="34"/>
      <c r="AZ308" s="34"/>
    </row>
    <row r="309" spans="1:52" x14ac:dyDescent="0.2">
      <c r="A309" s="34"/>
      <c r="B309" s="37" t="str">
        <f t="shared" si="9"/>
        <v xml:space="preserve"> </v>
      </c>
      <c r="C309" s="39" t="s">
        <v>255</v>
      </c>
      <c r="D309" s="39" t="s">
        <v>255</v>
      </c>
      <c r="E309" s="39" t="s">
        <v>255</v>
      </c>
      <c r="F309" s="38" t="str">
        <f t="shared" si="10"/>
        <v/>
      </c>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4"/>
      <c r="AO309" s="34"/>
      <c r="AP309" s="34"/>
      <c r="AQ309" s="34"/>
      <c r="AR309" s="34"/>
      <c r="AS309" s="34"/>
      <c r="AT309" s="34"/>
      <c r="AU309" s="34"/>
      <c r="AV309" s="34"/>
      <c r="AW309" s="34"/>
      <c r="AX309" s="34"/>
      <c r="AY309" s="34"/>
      <c r="AZ309" s="34"/>
    </row>
    <row r="310" spans="1:52" x14ac:dyDescent="0.2">
      <c r="A310" s="34"/>
      <c r="B310" s="37" t="str">
        <f t="shared" si="9"/>
        <v xml:space="preserve"> </v>
      </c>
      <c r="C310" s="39" t="s">
        <v>255</v>
      </c>
      <c r="D310" s="39" t="s">
        <v>255</v>
      </c>
      <c r="E310" s="39" t="s">
        <v>255</v>
      </c>
      <c r="F310" s="38" t="str">
        <f t="shared" si="10"/>
        <v/>
      </c>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row>
    <row r="311" spans="1:52" x14ac:dyDescent="0.2">
      <c r="A311" s="34"/>
      <c r="B311" s="37" t="str">
        <f t="shared" si="9"/>
        <v xml:space="preserve"> </v>
      </c>
      <c r="C311" s="39" t="s">
        <v>255</v>
      </c>
      <c r="D311" s="39" t="s">
        <v>255</v>
      </c>
      <c r="E311" s="39" t="s">
        <v>255</v>
      </c>
      <c r="F311" s="38" t="str">
        <f t="shared" si="10"/>
        <v/>
      </c>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row>
    <row r="312" spans="1:52" x14ac:dyDescent="0.2">
      <c r="A312" s="34"/>
      <c r="B312" s="37" t="str">
        <f t="shared" si="9"/>
        <v xml:space="preserve"> </v>
      </c>
      <c r="C312" s="39" t="s">
        <v>255</v>
      </c>
      <c r="D312" s="39" t="s">
        <v>255</v>
      </c>
      <c r="E312" s="39" t="s">
        <v>255</v>
      </c>
      <c r="F312" s="38" t="str">
        <f t="shared" si="10"/>
        <v/>
      </c>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row>
    <row r="313" spans="1:52" x14ac:dyDescent="0.2">
      <c r="A313" s="34"/>
      <c r="B313" s="37" t="str">
        <f t="shared" si="9"/>
        <v xml:space="preserve"> </v>
      </c>
      <c r="C313" s="39" t="s">
        <v>255</v>
      </c>
      <c r="D313" s="39" t="s">
        <v>255</v>
      </c>
      <c r="E313" s="39" t="s">
        <v>255</v>
      </c>
      <c r="F313" s="38" t="str">
        <f t="shared" si="10"/>
        <v/>
      </c>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row>
    <row r="314" spans="1:52" x14ac:dyDescent="0.2">
      <c r="A314" s="34"/>
      <c r="B314" s="37" t="str">
        <f t="shared" si="9"/>
        <v xml:space="preserve"> </v>
      </c>
      <c r="C314" s="39" t="s">
        <v>255</v>
      </c>
      <c r="D314" s="39" t="s">
        <v>255</v>
      </c>
      <c r="E314" s="39" t="s">
        <v>255</v>
      </c>
      <c r="F314" s="38" t="str">
        <f t="shared" si="10"/>
        <v/>
      </c>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row>
    <row r="315" spans="1:52" x14ac:dyDescent="0.2">
      <c r="A315" s="34"/>
      <c r="B315" s="37" t="str">
        <f t="shared" si="9"/>
        <v xml:space="preserve"> </v>
      </c>
      <c r="C315" s="39" t="s">
        <v>255</v>
      </c>
      <c r="D315" s="39" t="s">
        <v>255</v>
      </c>
      <c r="E315" s="39" t="s">
        <v>255</v>
      </c>
      <c r="F315" s="38" t="str">
        <f t="shared" si="10"/>
        <v/>
      </c>
      <c r="G315" s="34"/>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c r="AW315" s="34"/>
      <c r="AX315" s="34"/>
      <c r="AY315" s="34"/>
      <c r="AZ315" s="34"/>
    </row>
    <row r="316" spans="1:52" x14ac:dyDescent="0.2">
      <c r="A316" s="34"/>
      <c r="B316" s="37" t="str">
        <f t="shared" si="9"/>
        <v xml:space="preserve"> </v>
      </c>
      <c r="C316" s="39" t="s">
        <v>255</v>
      </c>
      <c r="D316" s="39" t="s">
        <v>255</v>
      </c>
      <c r="E316" s="39" t="s">
        <v>255</v>
      </c>
      <c r="F316" s="38" t="str">
        <f t="shared" si="10"/>
        <v/>
      </c>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c r="AW316" s="34"/>
      <c r="AX316" s="34"/>
      <c r="AY316" s="34"/>
      <c r="AZ316" s="34"/>
    </row>
    <row r="317" spans="1:52" x14ac:dyDescent="0.2">
      <c r="A317" s="34"/>
      <c r="B317" s="37" t="str">
        <f t="shared" si="9"/>
        <v xml:space="preserve"> </v>
      </c>
      <c r="C317" s="39" t="s">
        <v>255</v>
      </c>
      <c r="D317" s="39" t="s">
        <v>255</v>
      </c>
      <c r="E317" s="39" t="s">
        <v>255</v>
      </c>
      <c r="F317" s="38" t="str">
        <f t="shared" si="10"/>
        <v/>
      </c>
      <c r="G317" s="34"/>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row>
    <row r="318" spans="1:52" x14ac:dyDescent="0.2">
      <c r="A318" s="34"/>
      <c r="B318" s="37" t="str">
        <f t="shared" si="9"/>
        <v xml:space="preserve"> </v>
      </c>
      <c r="C318" s="39" t="s">
        <v>255</v>
      </c>
      <c r="D318" s="39" t="s">
        <v>255</v>
      </c>
      <c r="E318" s="39" t="s">
        <v>255</v>
      </c>
      <c r="F318" s="38" t="str">
        <f t="shared" si="10"/>
        <v/>
      </c>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row>
    <row r="319" spans="1:52" x14ac:dyDescent="0.2">
      <c r="A319" s="34"/>
      <c r="B319" s="37" t="str">
        <f t="shared" si="9"/>
        <v xml:space="preserve"> </v>
      </c>
      <c r="C319" s="39" t="s">
        <v>255</v>
      </c>
      <c r="D319" s="39" t="s">
        <v>255</v>
      </c>
      <c r="E319" s="39" t="s">
        <v>255</v>
      </c>
      <c r="F319" s="38" t="str">
        <f t="shared" si="10"/>
        <v/>
      </c>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row>
    <row r="320" spans="1:52" x14ac:dyDescent="0.2">
      <c r="A320" s="34"/>
      <c r="B320" s="37" t="str">
        <f t="shared" si="9"/>
        <v xml:space="preserve"> </v>
      </c>
      <c r="C320" s="39" t="s">
        <v>255</v>
      </c>
      <c r="D320" s="39" t="s">
        <v>255</v>
      </c>
      <c r="E320" s="39" t="s">
        <v>255</v>
      </c>
      <c r="F320" s="38" t="str">
        <f t="shared" si="10"/>
        <v/>
      </c>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row>
    <row r="321" spans="1:52" x14ac:dyDescent="0.2">
      <c r="A321" s="34"/>
      <c r="B321" s="37" t="str">
        <f t="shared" si="9"/>
        <v xml:space="preserve"> </v>
      </c>
      <c r="C321" s="39" t="s">
        <v>255</v>
      </c>
      <c r="D321" s="39" t="s">
        <v>255</v>
      </c>
      <c r="E321" s="39" t="s">
        <v>255</v>
      </c>
      <c r="F321" s="38" t="str">
        <f t="shared" si="10"/>
        <v/>
      </c>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row>
    <row r="322" spans="1:52" x14ac:dyDescent="0.2">
      <c r="A322" s="34"/>
      <c r="B322" s="37" t="str">
        <f t="shared" si="9"/>
        <v xml:space="preserve"> </v>
      </c>
      <c r="C322" s="39" t="s">
        <v>255</v>
      </c>
      <c r="D322" s="39" t="s">
        <v>255</v>
      </c>
      <c r="E322" s="39" t="s">
        <v>255</v>
      </c>
      <c r="F322" s="38" t="str">
        <f t="shared" si="10"/>
        <v/>
      </c>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row>
    <row r="323" spans="1:52" x14ac:dyDescent="0.2">
      <c r="A323" s="34"/>
      <c r="B323" s="37" t="str">
        <f t="shared" si="9"/>
        <v xml:space="preserve"> </v>
      </c>
      <c r="C323" s="39" t="s">
        <v>255</v>
      </c>
      <c r="D323" s="39" t="s">
        <v>255</v>
      </c>
      <c r="E323" s="39" t="s">
        <v>255</v>
      </c>
      <c r="F323" s="38" t="str">
        <f t="shared" si="10"/>
        <v/>
      </c>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row>
    <row r="324" spans="1:52" x14ac:dyDescent="0.2">
      <c r="A324" s="34"/>
      <c r="B324" s="37" t="str">
        <f t="shared" si="9"/>
        <v xml:space="preserve"> </v>
      </c>
      <c r="C324" s="39" t="s">
        <v>255</v>
      </c>
      <c r="D324" s="39" t="s">
        <v>255</v>
      </c>
      <c r="E324" s="39" t="s">
        <v>255</v>
      </c>
      <c r="F324" s="38" t="str">
        <f t="shared" si="10"/>
        <v/>
      </c>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row>
    <row r="325" spans="1:52" x14ac:dyDescent="0.2">
      <c r="A325" s="34"/>
      <c r="B325" s="37" t="str">
        <f t="shared" si="9"/>
        <v xml:space="preserve"> </v>
      </c>
      <c r="C325" s="39" t="s">
        <v>255</v>
      </c>
      <c r="D325" s="39" t="s">
        <v>255</v>
      </c>
      <c r="E325" s="39" t="s">
        <v>255</v>
      </c>
      <c r="F325" s="38" t="str">
        <f t="shared" si="10"/>
        <v/>
      </c>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row>
    <row r="326" spans="1:52" x14ac:dyDescent="0.2">
      <c r="A326" s="34"/>
      <c r="B326" s="37" t="str">
        <f t="shared" si="9"/>
        <v xml:space="preserve"> </v>
      </c>
      <c r="C326" s="39" t="s">
        <v>255</v>
      </c>
      <c r="D326" s="39" t="s">
        <v>255</v>
      </c>
      <c r="E326" s="39" t="s">
        <v>255</v>
      </c>
      <c r="F326" s="38" t="str">
        <f t="shared" si="10"/>
        <v/>
      </c>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row>
    <row r="327" spans="1:52" x14ac:dyDescent="0.2">
      <c r="A327" s="34"/>
      <c r="B327" s="37" t="str">
        <f t="shared" si="9"/>
        <v xml:space="preserve"> </v>
      </c>
      <c r="C327" s="39" t="s">
        <v>255</v>
      </c>
      <c r="D327" s="39" t="s">
        <v>255</v>
      </c>
      <c r="E327" s="39" t="s">
        <v>255</v>
      </c>
      <c r="F327" s="38" t="str">
        <f t="shared" si="10"/>
        <v/>
      </c>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row>
    <row r="328" spans="1:52" x14ac:dyDescent="0.2">
      <c r="A328" s="34"/>
      <c r="B328" s="37" t="str">
        <f t="shared" si="9"/>
        <v xml:space="preserve"> </v>
      </c>
      <c r="C328" s="39" t="s">
        <v>255</v>
      </c>
      <c r="D328" s="39" t="s">
        <v>255</v>
      </c>
      <c r="E328" s="39" t="s">
        <v>255</v>
      </c>
      <c r="F328" s="38" t="str">
        <f t="shared" si="10"/>
        <v/>
      </c>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row>
    <row r="329" spans="1:52" x14ac:dyDescent="0.2">
      <c r="A329" s="34"/>
      <c r="B329" s="37" t="str">
        <f t="shared" si="9"/>
        <v xml:space="preserve"> </v>
      </c>
      <c r="C329" s="39" t="s">
        <v>255</v>
      </c>
      <c r="D329" s="39" t="s">
        <v>255</v>
      </c>
      <c r="E329" s="39" t="s">
        <v>255</v>
      </c>
      <c r="F329" s="38" t="str">
        <f t="shared" si="10"/>
        <v/>
      </c>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row>
    <row r="330" spans="1:52" x14ac:dyDescent="0.2">
      <c r="A330" s="34"/>
      <c r="B330" s="37" t="str">
        <f t="shared" si="9"/>
        <v xml:space="preserve"> </v>
      </c>
      <c r="C330" s="39" t="s">
        <v>255</v>
      </c>
      <c r="D330" s="39" t="s">
        <v>255</v>
      </c>
      <c r="E330" s="39" t="s">
        <v>255</v>
      </c>
      <c r="F330" s="38" t="str">
        <f t="shared" si="10"/>
        <v/>
      </c>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row>
    <row r="331" spans="1:52" x14ac:dyDescent="0.2">
      <c r="A331" s="34"/>
      <c r="B331" s="37" t="str">
        <f t="shared" si="9"/>
        <v xml:space="preserve"> </v>
      </c>
      <c r="C331" s="39" t="s">
        <v>255</v>
      </c>
      <c r="D331" s="39" t="s">
        <v>255</v>
      </c>
      <c r="E331" s="39" t="s">
        <v>255</v>
      </c>
      <c r="F331" s="38" t="str">
        <f t="shared" si="10"/>
        <v/>
      </c>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row>
    <row r="332" spans="1:52" x14ac:dyDescent="0.2">
      <c r="A332" s="34"/>
      <c r="B332" s="37" t="str">
        <f t="shared" si="9"/>
        <v xml:space="preserve"> </v>
      </c>
      <c r="C332" s="39" t="s">
        <v>255</v>
      </c>
      <c r="D332" s="39" t="s">
        <v>255</v>
      </c>
      <c r="E332" s="39" t="s">
        <v>255</v>
      </c>
      <c r="F332" s="38" t="str">
        <f t="shared" si="10"/>
        <v/>
      </c>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row>
    <row r="333" spans="1:52" x14ac:dyDescent="0.2">
      <c r="A333" s="34"/>
      <c r="B333" s="37" t="str">
        <f t="shared" si="9"/>
        <v xml:space="preserve"> </v>
      </c>
      <c r="C333" s="39" t="s">
        <v>255</v>
      </c>
      <c r="D333" s="39" t="s">
        <v>255</v>
      </c>
      <c r="E333" s="39" t="s">
        <v>255</v>
      </c>
      <c r="F333" s="38" t="str">
        <f t="shared" si="10"/>
        <v/>
      </c>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row>
    <row r="334" spans="1:52" x14ac:dyDescent="0.2">
      <c r="A334" s="34"/>
      <c r="B334" s="37" t="str">
        <f t="shared" si="9"/>
        <v xml:space="preserve"> </v>
      </c>
      <c r="C334" s="39" t="s">
        <v>255</v>
      </c>
      <c r="D334" s="39" t="s">
        <v>255</v>
      </c>
      <c r="E334" s="39" t="s">
        <v>255</v>
      </c>
      <c r="F334" s="38" t="str">
        <f t="shared" si="10"/>
        <v/>
      </c>
      <c r="G334" s="34"/>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c r="AE334" s="34"/>
      <c r="AF334" s="34"/>
      <c r="AG334" s="34"/>
      <c r="AH334" s="34"/>
      <c r="AI334" s="34"/>
      <c r="AJ334" s="34"/>
      <c r="AK334" s="34"/>
      <c r="AL334" s="34"/>
      <c r="AM334" s="34"/>
      <c r="AN334" s="34"/>
      <c r="AO334" s="34"/>
      <c r="AP334" s="34"/>
      <c r="AQ334" s="34"/>
      <c r="AR334" s="34"/>
      <c r="AS334" s="34"/>
      <c r="AT334" s="34"/>
      <c r="AU334" s="34"/>
      <c r="AV334" s="34"/>
      <c r="AW334" s="34"/>
      <c r="AX334" s="34"/>
      <c r="AY334" s="34"/>
      <c r="AZ334" s="34"/>
    </row>
    <row r="335" spans="1:52" x14ac:dyDescent="0.2">
      <c r="A335" s="34"/>
      <c r="B335" s="37" t="str">
        <f t="shared" si="9"/>
        <v xml:space="preserve"> </v>
      </c>
      <c r="C335" s="39" t="s">
        <v>255</v>
      </c>
      <c r="D335" s="39" t="s">
        <v>255</v>
      </c>
      <c r="E335" s="39" t="s">
        <v>255</v>
      </c>
      <c r="F335" s="38" t="str">
        <f t="shared" si="10"/>
        <v/>
      </c>
      <c r="G335" s="34"/>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c r="AE335" s="34"/>
      <c r="AF335" s="34"/>
      <c r="AG335" s="34"/>
      <c r="AH335" s="34"/>
      <c r="AI335" s="34"/>
      <c r="AJ335" s="34"/>
      <c r="AK335" s="34"/>
      <c r="AL335" s="34"/>
      <c r="AM335" s="34"/>
      <c r="AN335" s="34"/>
      <c r="AO335" s="34"/>
      <c r="AP335" s="34"/>
      <c r="AQ335" s="34"/>
      <c r="AR335" s="34"/>
      <c r="AS335" s="34"/>
      <c r="AT335" s="34"/>
      <c r="AU335" s="34"/>
      <c r="AV335" s="34"/>
      <c r="AW335" s="34"/>
      <c r="AX335" s="34"/>
      <c r="AY335" s="34"/>
      <c r="AZ335" s="34"/>
    </row>
    <row r="336" spans="1:52" x14ac:dyDescent="0.2">
      <c r="A336" s="34"/>
      <c r="B336" s="37" t="str">
        <f t="shared" si="9"/>
        <v xml:space="preserve"> </v>
      </c>
      <c r="C336" s="39" t="s">
        <v>255</v>
      </c>
      <c r="D336" s="39" t="s">
        <v>255</v>
      </c>
      <c r="E336" s="39" t="s">
        <v>255</v>
      </c>
      <c r="F336" s="38" t="str">
        <f t="shared" si="10"/>
        <v/>
      </c>
      <c r="G336" s="34"/>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c r="AE336" s="34"/>
      <c r="AF336" s="34"/>
      <c r="AG336" s="34"/>
      <c r="AH336" s="34"/>
      <c r="AI336" s="34"/>
      <c r="AJ336" s="34"/>
      <c r="AK336" s="34"/>
      <c r="AL336" s="34"/>
      <c r="AM336" s="34"/>
      <c r="AN336" s="34"/>
      <c r="AO336" s="34"/>
      <c r="AP336" s="34"/>
      <c r="AQ336" s="34"/>
      <c r="AR336" s="34"/>
      <c r="AS336" s="34"/>
      <c r="AT336" s="34"/>
      <c r="AU336" s="34"/>
      <c r="AV336" s="34"/>
      <c r="AW336" s="34"/>
      <c r="AX336" s="34"/>
      <c r="AY336" s="34"/>
      <c r="AZ336" s="34"/>
    </row>
    <row r="337" spans="1:52" x14ac:dyDescent="0.2">
      <c r="A337" s="34"/>
      <c r="B337" s="37" t="str">
        <f t="shared" si="9"/>
        <v xml:space="preserve"> </v>
      </c>
      <c r="C337" s="39" t="s">
        <v>255</v>
      </c>
      <c r="D337" s="39" t="s">
        <v>255</v>
      </c>
      <c r="E337" s="39" t="s">
        <v>255</v>
      </c>
      <c r="F337" s="38" t="str">
        <f t="shared" si="10"/>
        <v/>
      </c>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34"/>
      <c r="AI337" s="34"/>
      <c r="AJ337" s="34"/>
      <c r="AK337" s="34"/>
      <c r="AL337" s="34"/>
      <c r="AM337" s="34"/>
      <c r="AN337" s="34"/>
      <c r="AO337" s="34"/>
      <c r="AP337" s="34"/>
      <c r="AQ337" s="34"/>
      <c r="AR337" s="34"/>
      <c r="AS337" s="34"/>
      <c r="AT337" s="34"/>
      <c r="AU337" s="34"/>
      <c r="AV337" s="34"/>
      <c r="AW337" s="34"/>
      <c r="AX337" s="34"/>
      <c r="AY337" s="34"/>
      <c r="AZ337" s="34"/>
    </row>
    <row r="338" spans="1:52" x14ac:dyDescent="0.2">
      <c r="A338" s="34"/>
      <c r="B338" s="37" t="str">
        <f t="shared" ref="B338:B401" si="11">IF(LEFT(C338, 2)="20", "W" &amp; C338, C338)</f>
        <v xml:space="preserve"> </v>
      </c>
      <c r="C338" s="39" t="s">
        <v>255</v>
      </c>
      <c r="D338" s="39" t="s">
        <v>255</v>
      </c>
      <c r="E338" s="39" t="s">
        <v>255</v>
      </c>
      <c r="F338" s="38" t="str">
        <f t="shared" ref="F338:F401" si="12">IF(C338= " ", "", IFERROR(VLOOKUP(B338, ExtMarksRHS, 4, FALSE), "X"))</f>
        <v/>
      </c>
      <c r="G338" s="34"/>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4"/>
      <c r="AO338" s="34"/>
      <c r="AP338" s="34"/>
      <c r="AQ338" s="34"/>
      <c r="AR338" s="34"/>
      <c r="AS338" s="34"/>
      <c r="AT338" s="34"/>
      <c r="AU338" s="34"/>
      <c r="AV338" s="34"/>
      <c r="AW338" s="34"/>
      <c r="AX338" s="34"/>
      <c r="AY338" s="34"/>
      <c r="AZ338" s="34"/>
    </row>
    <row r="339" spans="1:52" x14ac:dyDescent="0.2">
      <c r="A339" s="34"/>
      <c r="B339" s="37" t="str">
        <f t="shared" si="11"/>
        <v xml:space="preserve"> </v>
      </c>
      <c r="C339" s="39" t="s">
        <v>255</v>
      </c>
      <c r="D339" s="39" t="s">
        <v>255</v>
      </c>
      <c r="E339" s="39" t="s">
        <v>255</v>
      </c>
      <c r="F339" s="38" t="str">
        <f t="shared" si="12"/>
        <v/>
      </c>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row>
    <row r="340" spans="1:52" x14ac:dyDescent="0.2">
      <c r="A340" s="34"/>
      <c r="B340" s="37" t="str">
        <f t="shared" si="11"/>
        <v xml:space="preserve"> </v>
      </c>
      <c r="C340" s="39" t="s">
        <v>255</v>
      </c>
      <c r="D340" s="39" t="s">
        <v>255</v>
      </c>
      <c r="E340" s="39" t="s">
        <v>255</v>
      </c>
      <c r="F340" s="38" t="str">
        <f t="shared" si="12"/>
        <v/>
      </c>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row>
    <row r="341" spans="1:52" x14ac:dyDescent="0.2">
      <c r="A341" s="34"/>
      <c r="B341" s="37" t="str">
        <f t="shared" si="11"/>
        <v xml:space="preserve"> </v>
      </c>
      <c r="C341" s="39" t="s">
        <v>255</v>
      </c>
      <c r="D341" s="39" t="s">
        <v>255</v>
      </c>
      <c r="E341" s="39" t="s">
        <v>255</v>
      </c>
      <c r="F341" s="38" t="str">
        <f t="shared" si="12"/>
        <v/>
      </c>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row>
    <row r="342" spans="1:52" x14ac:dyDescent="0.2">
      <c r="A342" s="34"/>
      <c r="B342" s="37" t="str">
        <f t="shared" si="11"/>
        <v xml:space="preserve"> </v>
      </c>
      <c r="C342" s="39" t="s">
        <v>255</v>
      </c>
      <c r="D342" s="39" t="s">
        <v>255</v>
      </c>
      <c r="E342" s="39" t="s">
        <v>255</v>
      </c>
      <c r="F342" s="38" t="str">
        <f t="shared" si="12"/>
        <v/>
      </c>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row>
    <row r="343" spans="1:52" x14ac:dyDescent="0.2">
      <c r="A343" s="34"/>
      <c r="B343" s="37" t="str">
        <f t="shared" si="11"/>
        <v xml:space="preserve"> </v>
      </c>
      <c r="C343" s="39" t="s">
        <v>255</v>
      </c>
      <c r="D343" s="39" t="s">
        <v>255</v>
      </c>
      <c r="E343" s="39" t="s">
        <v>255</v>
      </c>
      <c r="F343" s="38" t="str">
        <f t="shared" si="12"/>
        <v/>
      </c>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row>
    <row r="344" spans="1:52" x14ac:dyDescent="0.2">
      <c r="A344" s="34"/>
      <c r="B344" s="37" t="str">
        <f t="shared" si="11"/>
        <v xml:space="preserve"> </v>
      </c>
      <c r="C344" s="39" t="s">
        <v>255</v>
      </c>
      <c r="D344" s="39" t="s">
        <v>255</v>
      </c>
      <c r="E344" s="39" t="s">
        <v>255</v>
      </c>
      <c r="F344" s="38" t="str">
        <f t="shared" si="12"/>
        <v/>
      </c>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row>
    <row r="345" spans="1:52" x14ac:dyDescent="0.2">
      <c r="A345" s="34"/>
      <c r="B345" s="37" t="str">
        <f t="shared" si="11"/>
        <v xml:space="preserve"> </v>
      </c>
      <c r="C345" s="39" t="s">
        <v>255</v>
      </c>
      <c r="D345" s="39" t="s">
        <v>255</v>
      </c>
      <c r="E345" s="39" t="s">
        <v>255</v>
      </c>
      <c r="F345" s="38" t="str">
        <f t="shared" si="12"/>
        <v/>
      </c>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row>
    <row r="346" spans="1:52" x14ac:dyDescent="0.2">
      <c r="A346" s="34"/>
      <c r="B346" s="37" t="str">
        <f t="shared" si="11"/>
        <v xml:space="preserve"> </v>
      </c>
      <c r="C346" s="39" t="s">
        <v>255</v>
      </c>
      <c r="D346" s="39" t="s">
        <v>255</v>
      </c>
      <c r="E346" s="39" t="s">
        <v>255</v>
      </c>
      <c r="F346" s="38" t="str">
        <f t="shared" si="12"/>
        <v/>
      </c>
      <c r="G346" s="34"/>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4"/>
      <c r="AQ346" s="34"/>
      <c r="AR346" s="34"/>
      <c r="AS346" s="34"/>
      <c r="AT346" s="34"/>
      <c r="AU346" s="34"/>
      <c r="AV346" s="34"/>
      <c r="AW346" s="34"/>
      <c r="AX346" s="34"/>
      <c r="AY346" s="34"/>
      <c r="AZ346" s="34"/>
    </row>
    <row r="347" spans="1:52" x14ac:dyDescent="0.2">
      <c r="A347" s="34"/>
      <c r="B347" s="37" t="str">
        <f t="shared" si="11"/>
        <v xml:space="preserve"> </v>
      </c>
      <c r="C347" s="39" t="s">
        <v>255</v>
      </c>
      <c r="D347" s="39" t="s">
        <v>255</v>
      </c>
      <c r="E347" s="39" t="s">
        <v>255</v>
      </c>
      <c r="F347" s="38" t="str">
        <f t="shared" si="12"/>
        <v/>
      </c>
      <c r="G347" s="34"/>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row>
    <row r="348" spans="1:52" x14ac:dyDescent="0.2">
      <c r="A348" s="34"/>
      <c r="B348" s="37" t="str">
        <f t="shared" si="11"/>
        <v xml:space="preserve"> </v>
      </c>
      <c r="C348" s="39" t="s">
        <v>255</v>
      </c>
      <c r="D348" s="39" t="s">
        <v>255</v>
      </c>
      <c r="E348" s="39" t="s">
        <v>255</v>
      </c>
      <c r="F348" s="38" t="str">
        <f t="shared" si="12"/>
        <v/>
      </c>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4"/>
      <c r="AQ348" s="34"/>
      <c r="AR348" s="34"/>
      <c r="AS348" s="34"/>
      <c r="AT348" s="34"/>
      <c r="AU348" s="34"/>
      <c r="AV348" s="34"/>
      <c r="AW348" s="34"/>
      <c r="AX348" s="34"/>
      <c r="AY348" s="34"/>
      <c r="AZ348" s="34"/>
    </row>
    <row r="349" spans="1:52" x14ac:dyDescent="0.2">
      <c r="A349" s="34"/>
      <c r="B349" s="37" t="str">
        <f t="shared" si="11"/>
        <v xml:space="preserve"> </v>
      </c>
      <c r="C349" s="39" t="s">
        <v>255</v>
      </c>
      <c r="D349" s="39" t="s">
        <v>255</v>
      </c>
      <c r="E349" s="39" t="s">
        <v>255</v>
      </c>
      <c r="F349" s="38" t="str">
        <f t="shared" si="12"/>
        <v/>
      </c>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row>
    <row r="350" spans="1:52" x14ac:dyDescent="0.2">
      <c r="A350" s="34"/>
      <c r="B350" s="37" t="str">
        <f t="shared" si="11"/>
        <v xml:space="preserve"> </v>
      </c>
      <c r="C350" s="39" t="s">
        <v>255</v>
      </c>
      <c r="D350" s="39" t="s">
        <v>255</v>
      </c>
      <c r="E350" s="39" t="s">
        <v>255</v>
      </c>
      <c r="F350" s="38" t="str">
        <f t="shared" si="12"/>
        <v/>
      </c>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row>
    <row r="351" spans="1:52" x14ac:dyDescent="0.2">
      <c r="A351" s="34"/>
      <c r="B351" s="37" t="str">
        <f t="shared" si="11"/>
        <v xml:space="preserve"> </v>
      </c>
      <c r="C351" s="39" t="s">
        <v>255</v>
      </c>
      <c r="D351" s="39" t="s">
        <v>255</v>
      </c>
      <c r="E351" s="39" t="s">
        <v>255</v>
      </c>
      <c r="F351" s="38" t="str">
        <f t="shared" si="12"/>
        <v/>
      </c>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row>
    <row r="352" spans="1:52" x14ac:dyDescent="0.2">
      <c r="A352" s="34"/>
      <c r="B352" s="37" t="str">
        <f t="shared" si="11"/>
        <v xml:space="preserve"> </v>
      </c>
      <c r="C352" s="39" t="s">
        <v>255</v>
      </c>
      <c r="D352" s="39" t="s">
        <v>255</v>
      </c>
      <c r="E352" s="39" t="s">
        <v>255</v>
      </c>
      <c r="F352" s="38" t="str">
        <f t="shared" si="12"/>
        <v/>
      </c>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row>
    <row r="353" spans="1:52" x14ac:dyDescent="0.2">
      <c r="A353" s="34"/>
      <c r="B353" s="37" t="str">
        <f t="shared" si="11"/>
        <v xml:space="preserve"> </v>
      </c>
      <c r="C353" s="39" t="s">
        <v>255</v>
      </c>
      <c r="D353" s="39" t="s">
        <v>255</v>
      </c>
      <c r="E353" s="39" t="s">
        <v>255</v>
      </c>
      <c r="F353" s="38" t="str">
        <f t="shared" si="12"/>
        <v/>
      </c>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row>
    <row r="354" spans="1:52" x14ac:dyDescent="0.2">
      <c r="A354" s="34"/>
      <c r="B354" s="37" t="str">
        <f t="shared" si="11"/>
        <v xml:space="preserve"> </v>
      </c>
      <c r="C354" s="39" t="s">
        <v>255</v>
      </c>
      <c r="D354" s="39" t="s">
        <v>255</v>
      </c>
      <c r="E354" s="39" t="s">
        <v>255</v>
      </c>
      <c r="F354" s="38" t="str">
        <f t="shared" si="12"/>
        <v/>
      </c>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row>
    <row r="355" spans="1:52" x14ac:dyDescent="0.2">
      <c r="A355" s="34"/>
      <c r="B355" s="37" t="str">
        <f t="shared" si="11"/>
        <v xml:space="preserve"> </v>
      </c>
      <c r="C355" s="39" t="s">
        <v>255</v>
      </c>
      <c r="D355" s="39" t="s">
        <v>255</v>
      </c>
      <c r="E355" s="39" t="s">
        <v>255</v>
      </c>
      <c r="F355" s="38" t="str">
        <f t="shared" si="12"/>
        <v/>
      </c>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4"/>
      <c r="AQ355" s="34"/>
      <c r="AR355" s="34"/>
      <c r="AS355" s="34"/>
      <c r="AT355" s="34"/>
      <c r="AU355" s="34"/>
      <c r="AV355" s="34"/>
      <c r="AW355" s="34"/>
      <c r="AX355" s="34"/>
      <c r="AY355" s="34"/>
      <c r="AZ355" s="34"/>
    </row>
    <row r="356" spans="1:52" x14ac:dyDescent="0.2">
      <c r="A356" s="34"/>
      <c r="B356" s="37" t="str">
        <f t="shared" si="11"/>
        <v xml:space="preserve"> </v>
      </c>
      <c r="C356" s="39" t="s">
        <v>255</v>
      </c>
      <c r="D356" s="39" t="s">
        <v>255</v>
      </c>
      <c r="E356" s="39" t="s">
        <v>255</v>
      </c>
      <c r="F356" s="38" t="str">
        <f t="shared" si="12"/>
        <v/>
      </c>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row>
    <row r="357" spans="1:52" x14ac:dyDescent="0.2">
      <c r="A357" s="34"/>
      <c r="B357" s="37" t="str">
        <f t="shared" si="11"/>
        <v xml:space="preserve"> </v>
      </c>
      <c r="C357" s="39" t="s">
        <v>255</v>
      </c>
      <c r="D357" s="39" t="s">
        <v>255</v>
      </c>
      <c r="E357" s="39" t="s">
        <v>255</v>
      </c>
      <c r="F357" s="38" t="str">
        <f t="shared" si="12"/>
        <v/>
      </c>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row>
    <row r="358" spans="1:52" x14ac:dyDescent="0.2">
      <c r="A358" s="34"/>
      <c r="B358" s="37" t="str">
        <f t="shared" si="11"/>
        <v xml:space="preserve"> </v>
      </c>
      <c r="C358" s="39" t="s">
        <v>255</v>
      </c>
      <c r="D358" s="39" t="s">
        <v>255</v>
      </c>
      <c r="E358" s="39" t="s">
        <v>255</v>
      </c>
      <c r="F358" s="38" t="str">
        <f t="shared" si="12"/>
        <v/>
      </c>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row>
    <row r="359" spans="1:52" x14ac:dyDescent="0.2">
      <c r="A359" s="34"/>
      <c r="B359" s="37" t="str">
        <f t="shared" si="11"/>
        <v xml:space="preserve"> </v>
      </c>
      <c r="C359" s="39" t="s">
        <v>255</v>
      </c>
      <c r="D359" s="39" t="s">
        <v>255</v>
      </c>
      <c r="E359" s="39" t="s">
        <v>255</v>
      </c>
      <c r="F359" s="38" t="str">
        <f t="shared" si="12"/>
        <v/>
      </c>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4"/>
      <c r="AQ359" s="34"/>
      <c r="AR359" s="34"/>
      <c r="AS359" s="34"/>
      <c r="AT359" s="34"/>
      <c r="AU359" s="34"/>
      <c r="AV359" s="34"/>
      <c r="AW359" s="34"/>
      <c r="AX359" s="34"/>
      <c r="AY359" s="34"/>
      <c r="AZ359" s="34"/>
    </row>
    <row r="360" spans="1:52" x14ac:dyDescent="0.2">
      <c r="A360" s="34"/>
      <c r="B360" s="37" t="str">
        <f t="shared" si="11"/>
        <v xml:space="preserve"> </v>
      </c>
      <c r="C360" s="39" t="s">
        <v>255</v>
      </c>
      <c r="D360" s="39" t="s">
        <v>255</v>
      </c>
      <c r="E360" s="39" t="s">
        <v>255</v>
      </c>
      <c r="F360" s="38" t="str">
        <f t="shared" si="12"/>
        <v/>
      </c>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row>
    <row r="361" spans="1:52" x14ac:dyDescent="0.2">
      <c r="A361" s="34"/>
      <c r="B361" s="37" t="str">
        <f t="shared" si="11"/>
        <v xml:space="preserve"> </v>
      </c>
      <c r="C361" s="39" t="s">
        <v>255</v>
      </c>
      <c r="D361" s="39" t="s">
        <v>255</v>
      </c>
      <c r="E361" s="39" t="s">
        <v>255</v>
      </c>
      <c r="F361" s="38" t="str">
        <f t="shared" si="12"/>
        <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4"/>
      <c r="AQ361" s="34"/>
      <c r="AR361" s="34"/>
      <c r="AS361" s="34"/>
      <c r="AT361" s="34"/>
      <c r="AU361" s="34"/>
      <c r="AV361" s="34"/>
      <c r="AW361" s="34"/>
      <c r="AX361" s="34"/>
      <c r="AY361" s="34"/>
      <c r="AZ361" s="34"/>
    </row>
    <row r="362" spans="1:52" x14ac:dyDescent="0.2">
      <c r="A362" s="34"/>
      <c r="B362" s="37" t="str">
        <f t="shared" si="11"/>
        <v xml:space="preserve"> </v>
      </c>
      <c r="C362" s="39" t="s">
        <v>255</v>
      </c>
      <c r="D362" s="39" t="s">
        <v>255</v>
      </c>
      <c r="E362" s="39" t="s">
        <v>255</v>
      </c>
      <c r="F362" s="38" t="str">
        <f t="shared" si="12"/>
        <v/>
      </c>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4"/>
      <c r="AQ362" s="34"/>
      <c r="AR362" s="34"/>
      <c r="AS362" s="34"/>
      <c r="AT362" s="34"/>
      <c r="AU362" s="34"/>
      <c r="AV362" s="34"/>
      <c r="AW362" s="34"/>
      <c r="AX362" s="34"/>
      <c r="AY362" s="34"/>
      <c r="AZ362" s="34"/>
    </row>
    <row r="363" spans="1:52" x14ac:dyDescent="0.2">
      <c r="A363" s="34"/>
      <c r="B363" s="37" t="str">
        <f t="shared" si="11"/>
        <v xml:space="preserve"> </v>
      </c>
      <c r="C363" s="39" t="s">
        <v>255</v>
      </c>
      <c r="D363" s="39" t="s">
        <v>255</v>
      </c>
      <c r="E363" s="39" t="s">
        <v>255</v>
      </c>
      <c r="F363" s="38" t="str">
        <f t="shared" si="12"/>
        <v/>
      </c>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row>
    <row r="364" spans="1:52" x14ac:dyDescent="0.2">
      <c r="A364" s="34"/>
      <c r="B364" s="37" t="str">
        <f t="shared" si="11"/>
        <v xml:space="preserve"> </v>
      </c>
      <c r="C364" s="39" t="s">
        <v>255</v>
      </c>
      <c r="D364" s="39" t="s">
        <v>255</v>
      </c>
      <c r="E364" s="39" t="s">
        <v>255</v>
      </c>
      <c r="F364" s="38" t="str">
        <f t="shared" si="12"/>
        <v/>
      </c>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row>
    <row r="365" spans="1:52" x14ac:dyDescent="0.2">
      <c r="A365" s="34"/>
      <c r="B365" s="37" t="str">
        <f t="shared" si="11"/>
        <v xml:space="preserve"> </v>
      </c>
      <c r="C365" s="39" t="s">
        <v>255</v>
      </c>
      <c r="D365" s="39" t="s">
        <v>255</v>
      </c>
      <c r="E365" s="39" t="s">
        <v>255</v>
      </c>
      <c r="F365" s="38" t="str">
        <f t="shared" si="12"/>
        <v/>
      </c>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row>
    <row r="366" spans="1:52" x14ac:dyDescent="0.2">
      <c r="A366" s="34"/>
      <c r="B366" s="37" t="str">
        <f t="shared" si="11"/>
        <v xml:space="preserve"> </v>
      </c>
      <c r="C366" s="39" t="s">
        <v>255</v>
      </c>
      <c r="D366" s="39" t="s">
        <v>255</v>
      </c>
      <c r="E366" s="39" t="s">
        <v>255</v>
      </c>
      <c r="F366" s="38" t="str">
        <f t="shared" si="12"/>
        <v/>
      </c>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row>
    <row r="367" spans="1:52" x14ac:dyDescent="0.2">
      <c r="A367" s="34"/>
      <c r="B367" s="37" t="str">
        <f t="shared" si="11"/>
        <v xml:space="preserve"> </v>
      </c>
      <c r="C367" s="39" t="s">
        <v>255</v>
      </c>
      <c r="D367" s="39" t="s">
        <v>255</v>
      </c>
      <c r="E367" s="39" t="s">
        <v>255</v>
      </c>
      <c r="F367" s="38" t="str">
        <f t="shared" si="12"/>
        <v/>
      </c>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4"/>
      <c r="AQ367" s="34"/>
      <c r="AR367" s="34"/>
      <c r="AS367" s="34"/>
      <c r="AT367" s="34"/>
      <c r="AU367" s="34"/>
      <c r="AV367" s="34"/>
      <c r="AW367" s="34"/>
      <c r="AX367" s="34"/>
      <c r="AY367" s="34"/>
      <c r="AZ367" s="34"/>
    </row>
    <row r="368" spans="1:52" x14ac:dyDescent="0.2">
      <c r="A368" s="34"/>
      <c r="B368" s="37" t="str">
        <f t="shared" si="11"/>
        <v xml:space="preserve"> </v>
      </c>
      <c r="C368" s="39" t="s">
        <v>255</v>
      </c>
      <c r="D368" s="39" t="s">
        <v>255</v>
      </c>
      <c r="E368" s="39" t="s">
        <v>255</v>
      </c>
      <c r="F368" s="38" t="str">
        <f t="shared" si="12"/>
        <v/>
      </c>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4"/>
      <c r="AQ368" s="34"/>
      <c r="AR368" s="34"/>
      <c r="AS368" s="34"/>
      <c r="AT368" s="34"/>
      <c r="AU368" s="34"/>
      <c r="AV368" s="34"/>
      <c r="AW368" s="34"/>
      <c r="AX368" s="34"/>
      <c r="AY368" s="34"/>
      <c r="AZ368" s="34"/>
    </row>
    <row r="369" spans="1:52" x14ac:dyDescent="0.2">
      <c r="A369" s="34"/>
      <c r="B369" s="37" t="str">
        <f t="shared" si="11"/>
        <v xml:space="preserve"> </v>
      </c>
      <c r="C369" s="39" t="s">
        <v>255</v>
      </c>
      <c r="D369" s="39" t="s">
        <v>255</v>
      </c>
      <c r="E369" s="39" t="s">
        <v>255</v>
      </c>
      <c r="F369" s="38" t="str">
        <f t="shared" si="12"/>
        <v/>
      </c>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4"/>
      <c r="AQ369" s="34"/>
      <c r="AR369" s="34"/>
      <c r="AS369" s="34"/>
      <c r="AT369" s="34"/>
      <c r="AU369" s="34"/>
      <c r="AV369" s="34"/>
      <c r="AW369" s="34"/>
      <c r="AX369" s="34"/>
      <c r="AY369" s="34"/>
      <c r="AZ369" s="34"/>
    </row>
    <row r="370" spans="1:52" x14ac:dyDescent="0.2">
      <c r="A370" s="34"/>
      <c r="B370" s="37" t="str">
        <f t="shared" si="11"/>
        <v xml:space="preserve"> </v>
      </c>
      <c r="C370" s="39" t="s">
        <v>255</v>
      </c>
      <c r="D370" s="39" t="s">
        <v>255</v>
      </c>
      <c r="E370" s="39" t="s">
        <v>255</v>
      </c>
      <c r="F370" s="38" t="str">
        <f t="shared" si="12"/>
        <v/>
      </c>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4"/>
      <c r="AQ370" s="34"/>
      <c r="AR370" s="34"/>
      <c r="AS370" s="34"/>
      <c r="AT370" s="34"/>
      <c r="AU370" s="34"/>
      <c r="AV370" s="34"/>
      <c r="AW370" s="34"/>
      <c r="AX370" s="34"/>
      <c r="AY370" s="34"/>
      <c r="AZ370" s="34"/>
    </row>
    <row r="371" spans="1:52" x14ac:dyDescent="0.2">
      <c r="A371" s="34"/>
      <c r="B371" s="37" t="str">
        <f t="shared" si="11"/>
        <v xml:space="preserve"> </v>
      </c>
      <c r="C371" s="39" t="s">
        <v>255</v>
      </c>
      <c r="D371" s="39" t="s">
        <v>255</v>
      </c>
      <c r="E371" s="39" t="s">
        <v>255</v>
      </c>
      <c r="F371" s="38" t="str">
        <f t="shared" si="12"/>
        <v/>
      </c>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row>
    <row r="372" spans="1:52" x14ac:dyDescent="0.2">
      <c r="A372" s="34"/>
      <c r="B372" s="37" t="str">
        <f t="shared" si="11"/>
        <v xml:space="preserve"> </v>
      </c>
      <c r="C372" s="39" t="s">
        <v>255</v>
      </c>
      <c r="D372" s="39" t="s">
        <v>255</v>
      </c>
      <c r="E372" s="39" t="s">
        <v>255</v>
      </c>
      <c r="F372" s="38" t="str">
        <f t="shared" si="12"/>
        <v/>
      </c>
      <c r="G372" s="34"/>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4"/>
      <c r="AQ372" s="34"/>
      <c r="AR372" s="34"/>
      <c r="AS372" s="34"/>
      <c r="AT372" s="34"/>
      <c r="AU372" s="34"/>
      <c r="AV372" s="34"/>
      <c r="AW372" s="34"/>
      <c r="AX372" s="34"/>
      <c r="AY372" s="34"/>
      <c r="AZ372" s="34"/>
    </row>
    <row r="373" spans="1:52" x14ac:dyDescent="0.2">
      <c r="A373" s="34"/>
      <c r="B373" s="37" t="str">
        <f t="shared" si="11"/>
        <v xml:space="preserve"> </v>
      </c>
      <c r="C373" s="39" t="s">
        <v>255</v>
      </c>
      <c r="D373" s="39" t="s">
        <v>255</v>
      </c>
      <c r="E373" s="39" t="s">
        <v>255</v>
      </c>
      <c r="F373" s="38" t="str">
        <f t="shared" si="12"/>
        <v/>
      </c>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row>
    <row r="374" spans="1:52" x14ac:dyDescent="0.2">
      <c r="A374" s="34"/>
      <c r="B374" s="37" t="str">
        <f t="shared" si="11"/>
        <v xml:space="preserve"> </v>
      </c>
      <c r="C374" s="39" t="s">
        <v>255</v>
      </c>
      <c r="D374" s="39" t="s">
        <v>255</v>
      </c>
      <c r="E374" s="39" t="s">
        <v>255</v>
      </c>
      <c r="F374" s="38" t="str">
        <f t="shared" si="12"/>
        <v/>
      </c>
      <c r="G374" s="34"/>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4"/>
      <c r="AQ374" s="34"/>
      <c r="AR374" s="34"/>
      <c r="AS374" s="34"/>
      <c r="AT374" s="34"/>
      <c r="AU374" s="34"/>
      <c r="AV374" s="34"/>
      <c r="AW374" s="34"/>
      <c r="AX374" s="34"/>
      <c r="AY374" s="34"/>
      <c r="AZ374" s="34"/>
    </row>
    <row r="375" spans="1:52" x14ac:dyDescent="0.2">
      <c r="A375" s="34"/>
      <c r="B375" s="37" t="str">
        <f t="shared" si="11"/>
        <v xml:space="preserve"> </v>
      </c>
      <c r="C375" s="39" t="s">
        <v>255</v>
      </c>
      <c r="D375" s="39" t="s">
        <v>255</v>
      </c>
      <c r="E375" s="39" t="s">
        <v>255</v>
      </c>
      <c r="F375" s="38" t="str">
        <f t="shared" si="12"/>
        <v/>
      </c>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4"/>
      <c r="AQ375" s="34"/>
      <c r="AR375" s="34"/>
      <c r="AS375" s="34"/>
      <c r="AT375" s="34"/>
      <c r="AU375" s="34"/>
      <c r="AV375" s="34"/>
      <c r="AW375" s="34"/>
      <c r="AX375" s="34"/>
      <c r="AY375" s="34"/>
      <c r="AZ375" s="34"/>
    </row>
    <row r="376" spans="1:52" x14ac:dyDescent="0.2">
      <c r="A376" s="34"/>
      <c r="B376" s="37" t="str">
        <f t="shared" si="11"/>
        <v xml:space="preserve"> </v>
      </c>
      <c r="C376" s="39" t="s">
        <v>255</v>
      </c>
      <c r="D376" s="39" t="s">
        <v>255</v>
      </c>
      <c r="E376" s="39" t="s">
        <v>255</v>
      </c>
      <c r="F376" s="38" t="str">
        <f t="shared" si="12"/>
        <v/>
      </c>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4"/>
      <c r="AQ376" s="34"/>
      <c r="AR376" s="34"/>
      <c r="AS376" s="34"/>
      <c r="AT376" s="34"/>
      <c r="AU376" s="34"/>
      <c r="AV376" s="34"/>
      <c r="AW376" s="34"/>
      <c r="AX376" s="34"/>
      <c r="AY376" s="34"/>
      <c r="AZ376" s="34"/>
    </row>
    <row r="377" spans="1:52" x14ac:dyDescent="0.2">
      <c r="A377" s="34"/>
      <c r="B377" s="37" t="str">
        <f t="shared" si="11"/>
        <v xml:space="preserve"> </v>
      </c>
      <c r="C377" s="39" t="s">
        <v>255</v>
      </c>
      <c r="D377" s="39" t="s">
        <v>255</v>
      </c>
      <c r="E377" s="39" t="s">
        <v>255</v>
      </c>
      <c r="F377" s="38" t="str">
        <f t="shared" si="12"/>
        <v/>
      </c>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4"/>
      <c r="AQ377" s="34"/>
      <c r="AR377" s="34"/>
      <c r="AS377" s="34"/>
      <c r="AT377" s="34"/>
      <c r="AU377" s="34"/>
      <c r="AV377" s="34"/>
      <c r="AW377" s="34"/>
      <c r="AX377" s="34"/>
      <c r="AY377" s="34"/>
      <c r="AZ377" s="34"/>
    </row>
    <row r="378" spans="1:52" x14ac:dyDescent="0.2">
      <c r="A378" s="34"/>
      <c r="B378" s="37" t="str">
        <f t="shared" si="11"/>
        <v xml:space="preserve"> </v>
      </c>
      <c r="C378" s="39" t="s">
        <v>255</v>
      </c>
      <c r="D378" s="39" t="s">
        <v>255</v>
      </c>
      <c r="E378" s="39" t="s">
        <v>255</v>
      </c>
      <c r="F378" s="38" t="str">
        <f t="shared" si="12"/>
        <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4"/>
      <c r="AQ378" s="34"/>
      <c r="AR378" s="34"/>
      <c r="AS378" s="34"/>
      <c r="AT378" s="34"/>
      <c r="AU378" s="34"/>
      <c r="AV378" s="34"/>
      <c r="AW378" s="34"/>
      <c r="AX378" s="34"/>
      <c r="AY378" s="34"/>
      <c r="AZ378" s="34"/>
    </row>
    <row r="379" spans="1:52" x14ac:dyDescent="0.2">
      <c r="A379" s="34"/>
      <c r="B379" s="37" t="str">
        <f t="shared" si="11"/>
        <v xml:space="preserve"> </v>
      </c>
      <c r="C379" s="39" t="s">
        <v>255</v>
      </c>
      <c r="D379" s="39" t="s">
        <v>255</v>
      </c>
      <c r="E379" s="39" t="s">
        <v>255</v>
      </c>
      <c r="F379" s="38" t="str">
        <f t="shared" si="12"/>
        <v/>
      </c>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4"/>
      <c r="AQ379" s="34"/>
      <c r="AR379" s="34"/>
      <c r="AS379" s="34"/>
      <c r="AT379" s="34"/>
      <c r="AU379" s="34"/>
      <c r="AV379" s="34"/>
      <c r="AW379" s="34"/>
      <c r="AX379" s="34"/>
      <c r="AY379" s="34"/>
      <c r="AZ379" s="34"/>
    </row>
    <row r="380" spans="1:52" x14ac:dyDescent="0.2">
      <c r="A380" s="34"/>
      <c r="B380" s="37" t="str">
        <f t="shared" si="11"/>
        <v xml:space="preserve"> </v>
      </c>
      <c r="C380" s="39" t="s">
        <v>255</v>
      </c>
      <c r="D380" s="39" t="s">
        <v>255</v>
      </c>
      <c r="E380" s="39" t="s">
        <v>255</v>
      </c>
      <c r="F380" s="38" t="str">
        <f t="shared" si="12"/>
        <v/>
      </c>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row>
    <row r="381" spans="1:52" x14ac:dyDescent="0.2">
      <c r="A381" s="34"/>
      <c r="B381" s="37" t="str">
        <f t="shared" si="11"/>
        <v xml:space="preserve"> </v>
      </c>
      <c r="C381" s="39" t="s">
        <v>255</v>
      </c>
      <c r="D381" s="39" t="s">
        <v>255</v>
      </c>
      <c r="E381" s="39" t="s">
        <v>255</v>
      </c>
      <c r="F381" s="38" t="str">
        <f t="shared" si="12"/>
        <v/>
      </c>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4"/>
      <c r="AQ381" s="34"/>
      <c r="AR381" s="34"/>
      <c r="AS381" s="34"/>
      <c r="AT381" s="34"/>
      <c r="AU381" s="34"/>
      <c r="AV381" s="34"/>
      <c r="AW381" s="34"/>
      <c r="AX381" s="34"/>
      <c r="AY381" s="34"/>
      <c r="AZ381" s="34"/>
    </row>
    <row r="382" spans="1:52" x14ac:dyDescent="0.2">
      <c r="A382" s="34"/>
      <c r="B382" s="37" t="str">
        <f t="shared" si="11"/>
        <v xml:space="preserve"> </v>
      </c>
      <c r="C382" s="39" t="s">
        <v>255</v>
      </c>
      <c r="D382" s="39" t="s">
        <v>255</v>
      </c>
      <c r="E382" s="39" t="s">
        <v>255</v>
      </c>
      <c r="F382" s="38" t="str">
        <f t="shared" si="12"/>
        <v/>
      </c>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4"/>
      <c r="AQ382" s="34"/>
      <c r="AR382" s="34"/>
      <c r="AS382" s="34"/>
      <c r="AT382" s="34"/>
      <c r="AU382" s="34"/>
      <c r="AV382" s="34"/>
      <c r="AW382" s="34"/>
      <c r="AX382" s="34"/>
      <c r="AY382" s="34"/>
      <c r="AZ382" s="34"/>
    </row>
    <row r="383" spans="1:52" x14ac:dyDescent="0.2">
      <c r="A383" s="34"/>
      <c r="B383" s="37" t="str">
        <f t="shared" si="11"/>
        <v xml:space="preserve"> </v>
      </c>
      <c r="C383" s="39" t="s">
        <v>255</v>
      </c>
      <c r="D383" s="39" t="s">
        <v>255</v>
      </c>
      <c r="E383" s="39" t="s">
        <v>255</v>
      </c>
      <c r="F383" s="38" t="str">
        <f t="shared" si="12"/>
        <v/>
      </c>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4"/>
      <c r="AQ383" s="34"/>
      <c r="AR383" s="34"/>
      <c r="AS383" s="34"/>
      <c r="AT383" s="34"/>
      <c r="AU383" s="34"/>
      <c r="AV383" s="34"/>
      <c r="AW383" s="34"/>
      <c r="AX383" s="34"/>
      <c r="AY383" s="34"/>
      <c r="AZ383" s="34"/>
    </row>
    <row r="384" spans="1:52" x14ac:dyDescent="0.2">
      <c r="A384" s="34"/>
      <c r="B384" s="37" t="str">
        <f t="shared" si="11"/>
        <v xml:space="preserve"> </v>
      </c>
      <c r="C384" s="39" t="s">
        <v>255</v>
      </c>
      <c r="D384" s="39" t="s">
        <v>255</v>
      </c>
      <c r="E384" s="39" t="s">
        <v>255</v>
      </c>
      <c r="F384" s="38" t="str">
        <f t="shared" si="12"/>
        <v/>
      </c>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4"/>
      <c r="AQ384" s="34"/>
      <c r="AR384" s="34"/>
      <c r="AS384" s="34"/>
      <c r="AT384" s="34"/>
      <c r="AU384" s="34"/>
      <c r="AV384" s="34"/>
      <c r="AW384" s="34"/>
      <c r="AX384" s="34"/>
      <c r="AY384" s="34"/>
      <c r="AZ384" s="34"/>
    </row>
    <row r="385" spans="1:52" x14ac:dyDescent="0.2">
      <c r="A385" s="34"/>
      <c r="B385" s="37" t="str">
        <f t="shared" si="11"/>
        <v xml:space="preserve"> </v>
      </c>
      <c r="C385" s="39" t="s">
        <v>255</v>
      </c>
      <c r="D385" s="39" t="s">
        <v>255</v>
      </c>
      <c r="E385" s="39" t="s">
        <v>255</v>
      </c>
      <c r="F385" s="38" t="str">
        <f t="shared" si="12"/>
        <v/>
      </c>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4"/>
      <c r="AQ385" s="34"/>
      <c r="AR385" s="34"/>
      <c r="AS385" s="34"/>
      <c r="AT385" s="34"/>
      <c r="AU385" s="34"/>
      <c r="AV385" s="34"/>
      <c r="AW385" s="34"/>
      <c r="AX385" s="34"/>
      <c r="AY385" s="34"/>
      <c r="AZ385" s="34"/>
    </row>
    <row r="386" spans="1:52" x14ac:dyDescent="0.2">
      <c r="A386" s="34"/>
      <c r="B386" s="37" t="str">
        <f t="shared" si="11"/>
        <v xml:space="preserve"> </v>
      </c>
      <c r="C386" s="39" t="s">
        <v>255</v>
      </c>
      <c r="D386" s="39" t="s">
        <v>255</v>
      </c>
      <c r="E386" s="39" t="s">
        <v>255</v>
      </c>
      <c r="F386" s="38" t="str">
        <f t="shared" si="12"/>
        <v/>
      </c>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4"/>
      <c r="AQ386" s="34"/>
      <c r="AR386" s="34"/>
      <c r="AS386" s="34"/>
      <c r="AT386" s="34"/>
      <c r="AU386" s="34"/>
      <c r="AV386" s="34"/>
      <c r="AW386" s="34"/>
      <c r="AX386" s="34"/>
      <c r="AY386" s="34"/>
      <c r="AZ386" s="34"/>
    </row>
    <row r="387" spans="1:52" x14ac:dyDescent="0.2">
      <c r="A387" s="34"/>
      <c r="B387" s="37" t="str">
        <f t="shared" si="11"/>
        <v xml:space="preserve"> </v>
      </c>
      <c r="C387" s="39" t="s">
        <v>255</v>
      </c>
      <c r="D387" s="39" t="s">
        <v>255</v>
      </c>
      <c r="E387" s="39" t="s">
        <v>255</v>
      </c>
      <c r="F387" s="38" t="str">
        <f t="shared" si="12"/>
        <v/>
      </c>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4"/>
      <c r="AQ387" s="34"/>
      <c r="AR387" s="34"/>
      <c r="AS387" s="34"/>
      <c r="AT387" s="34"/>
      <c r="AU387" s="34"/>
      <c r="AV387" s="34"/>
      <c r="AW387" s="34"/>
      <c r="AX387" s="34"/>
      <c r="AY387" s="34"/>
      <c r="AZ387" s="34"/>
    </row>
    <row r="388" spans="1:52" x14ac:dyDescent="0.2">
      <c r="A388" s="34"/>
      <c r="B388" s="37" t="str">
        <f t="shared" si="11"/>
        <v xml:space="preserve"> </v>
      </c>
      <c r="C388" s="39" t="s">
        <v>255</v>
      </c>
      <c r="D388" s="39" t="s">
        <v>255</v>
      </c>
      <c r="E388" s="39" t="s">
        <v>255</v>
      </c>
      <c r="F388" s="38" t="str">
        <f t="shared" si="12"/>
        <v/>
      </c>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4"/>
      <c r="AO388" s="34"/>
      <c r="AP388" s="34"/>
      <c r="AQ388" s="34"/>
      <c r="AR388" s="34"/>
      <c r="AS388" s="34"/>
      <c r="AT388" s="34"/>
      <c r="AU388" s="34"/>
      <c r="AV388" s="34"/>
      <c r="AW388" s="34"/>
      <c r="AX388" s="34"/>
      <c r="AY388" s="34"/>
      <c r="AZ388" s="34"/>
    </row>
    <row r="389" spans="1:52" x14ac:dyDescent="0.2">
      <c r="A389" s="34"/>
      <c r="B389" s="37" t="str">
        <f t="shared" si="11"/>
        <v xml:space="preserve"> </v>
      </c>
      <c r="C389" s="39" t="s">
        <v>255</v>
      </c>
      <c r="D389" s="39" t="s">
        <v>255</v>
      </c>
      <c r="E389" s="39" t="s">
        <v>255</v>
      </c>
      <c r="F389" s="38" t="str">
        <f t="shared" si="12"/>
        <v/>
      </c>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row>
    <row r="390" spans="1:52" x14ac:dyDescent="0.2">
      <c r="A390" s="34"/>
      <c r="B390" s="37" t="str">
        <f t="shared" si="11"/>
        <v xml:space="preserve"> </v>
      </c>
      <c r="C390" s="39" t="s">
        <v>255</v>
      </c>
      <c r="D390" s="39" t="s">
        <v>255</v>
      </c>
      <c r="E390" s="39" t="s">
        <v>255</v>
      </c>
      <c r="F390" s="38" t="str">
        <f t="shared" si="12"/>
        <v/>
      </c>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4"/>
      <c r="AO390" s="34"/>
      <c r="AP390" s="34"/>
      <c r="AQ390" s="34"/>
      <c r="AR390" s="34"/>
      <c r="AS390" s="34"/>
      <c r="AT390" s="34"/>
      <c r="AU390" s="34"/>
      <c r="AV390" s="34"/>
      <c r="AW390" s="34"/>
      <c r="AX390" s="34"/>
      <c r="AY390" s="34"/>
      <c r="AZ390" s="34"/>
    </row>
    <row r="391" spans="1:52" x14ac:dyDescent="0.2">
      <c r="A391" s="34"/>
      <c r="B391" s="37" t="str">
        <f t="shared" si="11"/>
        <v xml:space="preserve"> </v>
      </c>
      <c r="C391" s="39" t="s">
        <v>255</v>
      </c>
      <c r="D391" s="39" t="s">
        <v>255</v>
      </c>
      <c r="E391" s="39" t="s">
        <v>255</v>
      </c>
      <c r="F391" s="38" t="str">
        <f t="shared" si="12"/>
        <v/>
      </c>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4"/>
      <c r="AO391" s="34"/>
      <c r="AP391" s="34"/>
      <c r="AQ391" s="34"/>
      <c r="AR391" s="34"/>
      <c r="AS391" s="34"/>
      <c r="AT391" s="34"/>
      <c r="AU391" s="34"/>
      <c r="AV391" s="34"/>
      <c r="AW391" s="34"/>
      <c r="AX391" s="34"/>
      <c r="AY391" s="34"/>
      <c r="AZ391" s="34"/>
    </row>
    <row r="392" spans="1:52" x14ac:dyDescent="0.2">
      <c r="A392" s="34"/>
      <c r="B392" s="37" t="str">
        <f t="shared" si="11"/>
        <v xml:space="preserve"> </v>
      </c>
      <c r="C392" s="39" t="s">
        <v>255</v>
      </c>
      <c r="D392" s="39" t="s">
        <v>255</v>
      </c>
      <c r="E392" s="39" t="s">
        <v>255</v>
      </c>
      <c r="F392" s="38" t="str">
        <f t="shared" si="12"/>
        <v/>
      </c>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c r="AF392" s="34"/>
      <c r="AG392" s="34"/>
      <c r="AH392" s="34"/>
      <c r="AI392" s="34"/>
      <c r="AJ392" s="34"/>
      <c r="AK392" s="34"/>
      <c r="AL392" s="34"/>
      <c r="AM392" s="34"/>
      <c r="AN392" s="34"/>
      <c r="AO392" s="34"/>
      <c r="AP392" s="34"/>
      <c r="AQ392" s="34"/>
      <c r="AR392" s="34"/>
      <c r="AS392" s="34"/>
      <c r="AT392" s="34"/>
      <c r="AU392" s="34"/>
      <c r="AV392" s="34"/>
      <c r="AW392" s="34"/>
      <c r="AX392" s="34"/>
      <c r="AY392" s="34"/>
      <c r="AZ392" s="34"/>
    </row>
    <row r="393" spans="1:52" x14ac:dyDescent="0.2">
      <c r="A393" s="34"/>
      <c r="B393" s="37" t="str">
        <f t="shared" si="11"/>
        <v xml:space="preserve"> </v>
      </c>
      <c r="C393" s="39" t="s">
        <v>255</v>
      </c>
      <c r="D393" s="39" t="s">
        <v>255</v>
      </c>
      <c r="E393" s="39" t="s">
        <v>255</v>
      </c>
      <c r="F393" s="38" t="str">
        <f t="shared" si="12"/>
        <v/>
      </c>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c r="AF393" s="34"/>
      <c r="AG393" s="34"/>
      <c r="AH393" s="34"/>
      <c r="AI393" s="34"/>
      <c r="AJ393" s="34"/>
      <c r="AK393" s="34"/>
      <c r="AL393" s="34"/>
      <c r="AM393" s="34"/>
      <c r="AN393" s="34"/>
      <c r="AO393" s="34"/>
      <c r="AP393" s="34"/>
      <c r="AQ393" s="34"/>
      <c r="AR393" s="34"/>
      <c r="AS393" s="34"/>
      <c r="AT393" s="34"/>
      <c r="AU393" s="34"/>
      <c r="AV393" s="34"/>
      <c r="AW393" s="34"/>
      <c r="AX393" s="34"/>
      <c r="AY393" s="34"/>
      <c r="AZ393" s="34"/>
    </row>
    <row r="394" spans="1:52" x14ac:dyDescent="0.2">
      <c r="A394" s="34"/>
      <c r="B394" s="37" t="str">
        <f t="shared" si="11"/>
        <v xml:space="preserve"> </v>
      </c>
      <c r="C394" s="39" t="s">
        <v>255</v>
      </c>
      <c r="D394" s="39" t="s">
        <v>255</v>
      </c>
      <c r="E394" s="39" t="s">
        <v>255</v>
      </c>
      <c r="F394" s="38" t="str">
        <f t="shared" si="12"/>
        <v/>
      </c>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c r="AF394" s="34"/>
      <c r="AG394" s="34"/>
      <c r="AH394" s="34"/>
      <c r="AI394" s="34"/>
      <c r="AJ394" s="34"/>
      <c r="AK394" s="34"/>
      <c r="AL394" s="34"/>
      <c r="AM394" s="34"/>
      <c r="AN394" s="34"/>
      <c r="AO394" s="34"/>
      <c r="AP394" s="34"/>
      <c r="AQ394" s="34"/>
      <c r="AR394" s="34"/>
      <c r="AS394" s="34"/>
      <c r="AT394" s="34"/>
      <c r="AU394" s="34"/>
      <c r="AV394" s="34"/>
      <c r="AW394" s="34"/>
      <c r="AX394" s="34"/>
      <c r="AY394" s="34"/>
      <c r="AZ394" s="34"/>
    </row>
    <row r="395" spans="1:52" x14ac:dyDescent="0.2">
      <c r="A395" s="34"/>
      <c r="B395" s="37" t="str">
        <f t="shared" si="11"/>
        <v xml:space="preserve"> </v>
      </c>
      <c r="C395" s="39" t="s">
        <v>255</v>
      </c>
      <c r="D395" s="39" t="s">
        <v>255</v>
      </c>
      <c r="E395" s="39" t="s">
        <v>255</v>
      </c>
      <c r="F395" s="38" t="str">
        <f t="shared" si="12"/>
        <v/>
      </c>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c r="AF395" s="34"/>
      <c r="AG395" s="34"/>
      <c r="AH395" s="34"/>
      <c r="AI395" s="34"/>
      <c r="AJ395" s="34"/>
      <c r="AK395" s="34"/>
      <c r="AL395" s="34"/>
      <c r="AM395" s="34"/>
      <c r="AN395" s="34"/>
      <c r="AO395" s="34"/>
      <c r="AP395" s="34"/>
      <c r="AQ395" s="34"/>
      <c r="AR395" s="34"/>
      <c r="AS395" s="34"/>
      <c r="AT395" s="34"/>
      <c r="AU395" s="34"/>
      <c r="AV395" s="34"/>
      <c r="AW395" s="34"/>
      <c r="AX395" s="34"/>
      <c r="AY395" s="34"/>
      <c r="AZ395" s="34"/>
    </row>
    <row r="396" spans="1:52" x14ac:dyDescent="0.2">
      <c r="A396" s="34"/>
      <c r="B396" s="37" t="str">
        <f t="shared" si="11"/>
        <v xml:space="preserve"> </v>
      </c>
      <c r="C396" s="39" t="s">
        <v>255</v>
      </c>
      <c r="D396" s="39" t="s">
        <v>255</v>
      </c>
      <c r="E396" s="39" t="s">
        <v>255</v>
      </c>
      <c r="F396" s="38" t="str">
        <f t="shared" si="12"/>
        <v/>
      </c>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row>
    <row r="397" spans="1:52" x14ac:dyDescent="0.2">
      <c r="A397" s="34"/>
      <c r="B397" s="37" t="str">
        <f t="shared" si="11"/>
        <v xml:space="preserve"> </v>
      </c>
      <c r="C397" s="39" t="s">
        <v>255</v>
      </c>
      <c r="D397" s="39" t="s">
        <v>255</v>
      </c>
      <c r="E397" s="39" t="s">
        <v>255</v>
      </c>
      <c r="F397" s="38" t="str">
        <f t="shared" si="12"/>
        <v/>
      </c>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c r="AF397" s="34"/>
      <c r="AG397" s="34"/>
      <c r="AH397" s="34"/>
      <c r="AI397" s="34"/>
      <c r="AJ397" s="34"/>
      <c r="AK397" s="34"/>
      <c r="AL397" s="34"/>
      <c r="AM397" s="34"/>
      <c r="AN397" s="34"/>
      <c r="AO397" s="34"/>
      <c r="AP397" s="34"/>
      <c r="AQ397" s="34"/>
      <c r="AR397" s="34"/>
      <c r="AS397" s="34"/>
      <c r="AT397" s="34"/>
      <c r="AU397" s="34"/>
      <c r="AV397" s="34"/>
      <c r="AW397" s="34"/>
      <c r="AX397" s="34"/>
      <c r="AY397" s="34"/>
      <c r="AZ397" s="34"/>
    </row>
    <row r="398" spans="1:52" x14ac:dyDescent="0.2">
      <c r="A398" s="34"/>
      <c r="B398" s="37" t="str">
        <f t="shared" si="11"/>
        <v xml:space="preserve"> </v>
      </c>
      <c r="C398" s="39" t="s">
        <v>255</v>
      </c>
      <c r="D398" s="39" t="s">
        <v>255</v>
      </c>
      <c r="E398" s="39" t="s">
        <v>255</v>
      </c>
      <c r="F398" s="38" t="str">
        <f t="shared" si="12"/>
        <v/>
      </c>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c r="AF398" s="34"/>
      <c r="AG398" s="34"/>
      <c r="AH398" s="34"/>
      <c r="AI398" s="34"/>
      <c r="AJ398" s="34"/>
      <c r="AK398" s="34"/>
      <c r="AL398" s="34"/>
      <c r="AM398" s="34"/>
      <c r="AN398" s="34"/>
      <c r="AO398" s="34"/>
      <c r="AP398" s="34"/>
      <c r="AQ398" s="34"/>
      <c r="AR398" s="34"/>
      <c r="AS398" s="34"/>
      <c r="AT398" s="34"/>
      <c r="AU398" s="34"/>
      <c r="AV398" s="34"/>
      <c r="AW398" s="34"/>
      <c r="AX398" s="34"/>
      <c r="AY398" s="34"/>
      <c r="AZ398" s="34"/>
    </row>
    <row r="399" spans="1:52" x14ac:dyDescent="0.2">
      <c r="A399" s="34"/>
      <c r="B399" s="37" t="str">
        <f t="shared" si="11"/>
        <v xml:space="preserve"> </v>
      </c>
      <c r="C399" s="39" t="s">
        <v>255</v>
      </c>
      <c r="D399" s="39" t="s">
        <v>255</v>
      </c>
      <c r="E399" s="39" t="s">
        <v>255</v>
      </c>
      <c r="F399" s="38" t="str">
        <f t="shared" si="12"/>
        <v/>
      </c>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c r="AF399" s="34"/>
      <c r="AG399" s="34"/>
      <c r="AH399" s="34"/>
      <c r="AI399" s="34"/>
      <c r="AJ399" s="34"/>
      <c r="AK399" s="34"/>
      <c r="AL399" s="34"/>
      <c r="AM399" s="34"/>
      <c r="AN399" s="34"/>
      <c r="AO399" s="34"/>
      <c r="AP399" s="34"/>
      <c r="AQ399" s="34"/>
      <c r="AR399" s="34"/>
      <c r="AS399" s="34"/>
      <c r="AT399" s="34"/>
      <c r="AU399" s="34"/>
      <c r="AV399" s="34"/>
      <c r="AW399" s="34"/>
      <c r="AX399" s="34"/>
      <c r="AY399" s="34"/>
      <c r="AZ399" s="34"/>
    </row>
    <row r="400" spans="1:52" x14ac:dyDescent="0.2">
      <c r="A400" s="34"/>
      <c r="B400" s="37" t="str">
        <f t="shared" si="11"/>
        <v xml:space="preserve"> </v>
      </c>
      <c r="C400" s="39" t="s">
        <v>255</v>
      </c>
      <c r="D400" s="39" t="s">
        <v>255</v>
      </c>
      <c r="E400" s="39" t="s">
        <v>255</v>
      </c>
      <c r="F400" s="38" t="str">
        <f t="shared" si="12"/>
        <v/>
      </c>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c r="AF400" s="34"/>
      <c r="AG400" s="34"/>
      <c r="AH400" s="34"/>
      <c r="AI400" s="34"/>
      <c r="AJ400" s="34"/>
      <c r="AK400" s="34"/>
      <c r="AL400" s="34"/>
      <c r="AM400" s="34"/>
      <c r="AN400" s="34"/>
      <c r="AO400" s="34"/>
      <c r="AP400" s="34"/>
      <c r="AQ400" s="34"/>
      <c r="AR400" s="34"/>
      <c r="AS400" s="34"/>
      <c r="AT400" s="34"/>
      <c r="AU400" s="34"/>
      <c r="AV400" s="34"/>
      <c r="AW400" s="34"/>
      <c r="AX400" s="34"/>
      <c r="AY400" s="34"/>
      <c r="AZ400" s="34"/>
    </row>
    <row r="401" spans="1:52" x14ac:dyDescent="0.2">
      <c r="A401" s="34"/>
      <c r="B401" s="37" t="str">
        <f t="shared" si="11"/>
        <v xml:space="preserve"> </v>
      </c>
      <c r="C401" s="39" t="s">
        <v>255</v>
      </c>
      <c r="D401" s="39" t="s">
        <v>255</v>
      </c>
      <c r="E401" s="39" t="s">
        <v>255</v>
      </c>
      <c r="F401" s="38" t="str">
        <f t="shared" si="12"/>
        <v/>
      </c>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row>
    <row r="402" spans="1:52" x14ac:dyDescent="0.2">
      <c r="A402" s="34"/>
      <c r="B402" s="37" t="str">
        <f t="shared" ref="B402:B418" si="13">IF(LEFT(C402, 2)="20", "W" &amp; C402, C402)</f>
        <v xml:space="preserve"> </v>
      </c>
      <c r="C402" s="39" t="s">
        <v>255</v>
      </c>
      <c r="D402" s="39" t="s">
        <v>255</v>
      </c>
      <c r="E402" s="39" t="s">
        <v>255</v>
      </c>
      <c r="F402" s="38" t="str">
        <f t="shared" ref="F402:F418" si="14">IF(C402= " ", "", IFERROR(VLOOKUP(B402, ExtMarksRHS, 4, FALSE), "X"))</f>
        <v/>
      </c>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row>
    <row r="403" spans="1:52" x14ac:dyDescent="0.2">
      <c r="A403" s="34"/>
      <c r="B403" s="37" t="str">
        <f t="shared" si="13"/>
        <v xml:space="preserve"> </v>
      </c>
      <c r="C403" s="39" t="s">
        <v>255</v>
      </c>
      <c r="D403" s="39" t="s">
        <v>255</v>
      </c>
      <c r="E403" s="39" t="s">
        <v>255</v>
      </c>
      <c r="F403" s="38" t="str">
        <f t="shared" si="14"/>
        <v/>
      </c>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row>
    <row r="404" spans="1:52" x14ac:dyDescent="0.2">
      <c r="A404" s="34"/>
      <c r="B404" s="37" t="str">
        <f t="shared" si="13"/>
        <v xml:space="preserve"> </v>
      </c>
      <c r="C404" s="39" t="s">
        <v>255</v>
      </c>
      <c r="D404" s="39" t="s">
        <v>255</v>
      </c>
      <c r="E404" s="39" t="s">
        <v>255</v>
      </c>
      <c r="F404" s="38" t="str">
        <f t="shared" si="14"/>
        <v/>
      </c>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row>
    <row r="405" spans="1:52" x14ac:dyDescent="0.2">
      <c r="A405" s="34"/>
      <c r="B405" s="37" t="str">
        <f t="shared" si="13"/>
        <v xml:space="preserve"> </v>
      </c>
      <c r="C405" s="39" t="s">
        <v>255</v>
      </c>
      <c r="D405" s="39" t="s">
        <v>255</v>
      </c>
      <c r="E405" s="39" t="s">
        <v>255</v>
      </c>
      <c r="F405" s="38" t="str">
        <f t="shared" si="14"/>
        <v/>
      </c>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row>
    <row r="406" spans="1:52" x14ac:dyDescent="0.2">
      <c r="A406" s="34"/>
      <c r="B406" s="37" t="str">
        <f t="shared" si="13"/>
        <v xml:space="preserve"> </v>
      </c>
      <c r="C406" s="39" t="s">
        <v>255</v>
      </c>
      <c r="D406" s="39" t="s">
        <v>255</v>
      </c>
      <c r="E406" s="39" t="s">
        <v>255</v>
      </c>
      <c r="F406" s="38" t="str">
        <f t="shared" si="14"/>
        <v/>
      </c>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row>
    <row r="407" spans="1:52" x14ac:dyDescent="0.2">
      <c r="A407" s="34"/>
      <c r="B407" s="37" t="str">
        <f t="shared" si="13"/>
        <v xml:space="preserve"> </v>
      </c>
      <c r="C407" s="39" t="s">
        <v>255</v>
      </c>
      <c r="D407" s="39" t="s">
        <v>255</v>
      </c>
      <c r="E407" s="39" t="s">
        <v>255</v>
      </c>
      <c r="F407" s="38" t="str">
        <f t="shared" si="14"/>
        <v/>
      </c>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row>
    <row r="408" spans="1:52" x14ac:dyDescent="0.2">
      <c r="A408" s="34"/>
      <c r="B408" s="37" t="str">
        <f t="shared" si="13"/>
        <v xml:space="preserve"> </v>
      </c>
      <c r="C408" s="39" t="s">
        <v>255</v>
      </c>
      <c r="D408" s="39" t="s">
        <v>255</v>
      </c>
      <c r="E408" s="39" t="s">
        <v>255</v>
      </c>
      <c r="F408" s="38" t="str">
        <f t="shared" si="14"/>
        <v/>
      </c>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row>
    <row r="409" spans="1:52" x14ac:dyDescent="0.2">
      <c r="A409" s="34"/>
      <c r="B409" s="37" t="str">
        <f t="shared" si="13"/>
        <v xml:space="preserve"> </v>
      </c>
      <c r="C409" s="39" t="s">
        <v>255</v>
      </c>
      <c r="D409" s="39" t="s">
        <v>255</v>
      </c>
      <c r="E409" s="39" t="s">
        <v>255</v>
      </c>
      <c r="F409" s="38" t="str">
        <f t="shared" si="14"/>
        <v/>
      </c>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row>
    <row r="410" spans="1:52" x14ac:dyDescent="0.2">
      <c r="A410" s="34"/>
      <c r="B410" s="37" t="str">
        <f t="shared" si="13"/>
        <v xml:space="preserve"> </v>
      </c>
      <c r="C410" s="39" t="s">
        <v>255</v>
      </c>
      <c r="D410" s="39" t="s">
        <v>255</v>
      </c>
      <c r="E410" s="39" t="s">
        <v>255</v>
      </c>
      <c r="F410" s="38" t="str">
        <f t="shared" si="14"/>
        <v/>
      </c>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row>
    <row r="411" spans="1:52" x14ac:dyDescent="0.2">
      <c r="A411" s="34"/>
      <c r="B411" s="37" t="str">
        <f t="shared" si="13"/>
        <v xml:space="preserve"> </v>
      </c>
      <c r="C411" s="39" t="s">
        <v>255</v>
      </c>
      <c r="D411" s="39" t="s">
        <v>255</v>
      </c>
      <c r="E411" s="39" t="s">
        <v>255</v>
      </c>
      <c r="F411" s="38" t="str">
        <f t="shared" si="14"/>
        <v/>
      </c>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row>
    <row r="412" spans="1:52" x14ac:dyDescent="0.2">
      <c r="A412" s="34"/>
      <c r="B412" s="37" t="str">
        <f t="shared" si="13"/>
        <v xml:space="preserve"> </v>
      </c>
      <c r="C412" s="39" t="s">
        <v>255</v>
      </c>
      <c r="D412" s="39" t="s">
        <v>255</v>
      </c>
      <c r="E412" s="39" t="s">
        <v>255</v>
      </c>
      <c r="F412" s="38" t="str">
        <f t="shared" si="14"/>
        <v/>
      </c>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row>
    <row r="413" spans="1:52" x14ac:dyDescent="0.2">
      <c r="A413" s="34"/>
      <c r="B413" s="37" t="str">
        <f t="shared" si="13"/>
        <v xml:space="preserve"> </v>
      </c>
      <c r="C413" s="39" t="s">
        <v>255</v>
      </c>
      <c r="D413" s="39" t="s">
        <v>255</v>
      </c>
      <c r="E413" s="39" t="s">
        <v>255</v>
      </c>
      <c r="F413" s="38" t="str">
        <f t="shared" si="14"/>
        <v/>
      </c>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row>
    <row r="414" spans="1:52" x14ac:dyDescent="0.2">
      <c r="A414" s="34"/>
      <c r="B414" s="37" t="str">
        <f t="shared" si="13"/>
        <v xml:space="preserve"> </v>
      </c>
      <c r="C414" s="39" t="s">
        <v>255</v>
      </c>
      <c r="D414" s="39" t="s">
        <v>255</v>
      </c>
      <c r="E414" s="39" t="s">
        <v>255</v>
      </c>
      <c r="F414" s="38" t="str">
        <f t="shared" si="14"/>
        <v/>
      </c>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row>
    <row r="415" spans="1:52" x14ac:dyDescent="0.2">
      <c r="A415" s="34"/>
      <c r="B415" s="37" t="str">
        <f t="shared" si="13"/>
        <v xml:space="preserve"> </v>
      </c>
      <c r="C415" s="39" t="s">
        <v>255</v>
      </c>
      <c r="D415" s="39" t="s">
        <v>255</v>
      </c>
      <c r="E415" s="39" t="s">
        <v>255</v>
      </c>
      <c r="F415" s="38" t="str">
        <f t="shared" si="14"/>
        <v/>
      </c>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row>
    <row r="416" spans="1:52" x14ac:dyDescent="0.2">
      <c r="A416" s="34"/>
      <c r="B416" s="37" t="str">
        <f t="shared" si="13"/>
        <v xml:space="preserve"> </v>
      </c>
      <c r="C416" s="39" t="s">
        <v>255</v>
      </c>
      <c r="D416" s="39" t="s">
        <v>255</v>
      </c>
      <c r="E416" s="39" t="s">
        <v>255</v>
      </c>
      <c r="F416" s="38" t="str">
        <f t="shared" si="14"/>
        <v/>
      </c>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row>
    <row r="417" spans="1:52" x14ac:dyDescent="0.2">
      <c r="A417" s="34"/>
      <c r="B417" s="37" t="str">
        <f t="shared" si="13"/>
        <v xml:space="preserve"> </v>
      </c>
      <c r="C417" s="39" t="s">
        <v>255</v>
      </c>
      <c r="D417" s="39" t="s">
        <v>255</v>
      </c>
      <c r="E417" s="39" t="s">
        <v>255</v>
      </c>
      <c r="F417" s="38" t="str">
        <f t="shared" si="14"/>
        <v/>
      </c>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row>
    <row r="418" spans="1:52" x14ac:dyDescent="0.2">
      <c r="A418" s="34"/>
      <c r="B418" s="37" t="str">
        <f t="shared" si="13"/>
        <v xml:space="preserve"> </v>
      </c>
      <c r="C418" s="39" t="s">
        <v>255</v>
      </c>
      <c r="D418" s="39" t="s">
        <v>255</v>
      </c>
      <c r="E418" s="39" t="s">
        <v>255</v>
      </c>
      <c r="F418" s="38" t="str">
        <f t="shared" si="14"/>
        <v/>
      </c>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row>
    <row r="419" spans="1:52" x14ac:dyDescent="0.2">
      <c r="A419" s="34"/>
      <c r="B419" s="26"/>
      <c r="C419" s="5"/>
      <c r="D419" s="5"/>
      <c r="E419" s="5"/>
      <c r="F419" s="17"/>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row>
    <row r="420" spans="1:52" x14ac:dyDescent="0.2">
      <c r="A420" s="34"/>
      <c r="B420" s="26"/>
      <c r="C420" s="5"/>
      <c r="D420" s="5"/>
      <c r="E420" s="5"/>
      <c r="F420" s="17"/>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row>
    <row r="421" spans="1:52" x14ac:dyDescent="0.2">
      <c r="A421" s="34"/>
      <c r="B421" s="26"/>
      <c r="C421" s="5"/>
      <c r="D421" s="5"/>
      <c r="E421" s="5"/>
      <c r="F421" s="17"/>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row>
    <row r="422" spans="1:52" x14ac:dyDescent="0.2">
      <c r="A422" s="34"/>
      <c r="B422" s="26"/>
      <c r="C422" s="5"/>
      <c r="D422" s="5"/>
      <c r="E422" s="5"/>
      <c r="F422" s="17"/>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row>
    <row r="423" spans="1:52" x14ac:dyDescent="0.2">
      <c r="A423" s="34"/>
      <c r="B423" s="26"/>
      <c r="C423" s="5"/>
      <c r="D423" s="5"/>
      <c r="E423" s="5"/>
      <c r="F423" s="17"/>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row>
    <row r="424" spans="1:52" x14ac:dyDescent="0.2">
      <c r="A424" s="34"/>
      <c r="B424" s="26"/>
      <c r="C424" s="5"/>
      <c r="D424" s="5"/>
      <c r="E424" s="5"/>
      <c r="F424" s="17"/>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row>
    <row r="425" spans="1:52" x14ac:dyDescent="0.2">
      <c r="A425" s="34"/>
      <c r="B425" s="26"/>
      <c r="C425" s="5"/>
      <c r="D425" s="5"/>
      <c r="E425" s="5"/>
      <c r="F425" s="17"/>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row>
    <row r="426" spans="1:52" x14ac:dyDescent="0.2">
      <c r="A426" s="34"/>
      <c r="B426" s="26"/>
      <c r="C426" s="5"/>
      <c r="D426" s="5"/>
      <c r="E426" s="5"/>
      <c r="F426" s="17"/>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row>
    <row r="427" spans="1:52" x14ac:dyDescent="0.2">
      <c r="A427" s="34"/>
      <c r="B427" s="26"/>
      <c r="C427" s="5"/>
      <c r="D427" s="5"/>
      <c r="E427" s="5"/>
      <c r="F427" s="17"/>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row>
    <row r="428" spans="1:52" x14ac:dyDescent="0.2">
      <c r="A428" s="34"/>
      <c r="B428" s="26"/>
      <c r="C428" s="5"/>
      <c r="D428" s="5"/>
      <c r="E428" s="5"/>
      <c r="F428" s="17"/>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row>
    <row r="429" spans="1:52" x14ac:dyDescent="0.2">
      <c r="A429" s="34"/>
      <c r="B429" s="26"/>
      <c r="C429" s="5"/>
      <c r="D429" s="5"/>
      <c r="E429" s="5"/>
      <c r="F429" s="17"/>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row>
    <row r="430" spans="1:52" x14ac:dyDescent="0.2">
      <c r="A430" s="34"/>
      <c r="B430" s="26"/>
      <c r="C430" s="5"/>
      <c r="D430" s="5"/>
      <c r="E430" s="5"/>
      <c r="F430" s="17"/>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row>
    <row r="431" spans="1:52" x14ac:dyDescent="0.2">
      <c r="A431" s="34"/>
      <c r="B431" s="26"/>
      <c r="C431" s="5"/>
      <c r="D431" s="5"/>
      <c r="E431" s="5"/>
      <c r="F431" s="17"/>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row>
    <row r="432" spans="1:52" x14ac:dyDescent="0.2">
      <c r="A432" s="34"/>
      <c r="B432" s="26"/>
      <c r="C432" s="5"/>
      <c r="D432" s="5"/>
      <c r="E432" s="5"/>
      <c r="F432" s="17"/>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row>
    <row r="433" spans="1:52" x14ac:dyDescent="0.2">
      <c r="A433" s="34"/>
      <c r="B433" s="26"/>
      <c r="C433" s="5"/>
      <c r="D433" s="5"/>
      <c r="E433" s="5"/>
      <c r="F433" s="17"/>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row>
    <row r="434" spans="1:52" x14ac:dyDescent="0.2">
      <c r="A434" s="34"/>
      <c r="B434" s="26"/>
      <c r="C434" s="5"/>
      <c r="D434" s="5"/>
      <c r="E434" s="5"/>
      <c r="F434" s="17"/>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row>
    <row r="435" spans="1:52" x14ac:dyDescent="0.2">
      <c r="A435" s="34"/>
      <c r="B435" s="26"/>
      <c r="C435" s="5"/>
      <c r="D435" s="5"/>
      <c r="E435" s="5"/>
      <c r="F435" s="17"/>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row>
    <row r="436" spans="1:52" x14ac:dyDescent="0.2">
      <c r="A436" s="34"/>
      <c r="B436" s="26"/>
      <c r="C436" s="5"/>
      <c r="D436" s="5"/>
      <c r="E436" s="5"/>
      <c r="F436" s="17"/>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row>
    <row r="437" spans="1:52" x14ac:dyDescent="0.2">
      <c r="A437" s="34"/>
      <c r="B437" s="26"/>
      <c r="C437" s="5"/>
      <c r="D437" s="5"/>
      <c r="E437" s="5"/>
      <c r="F437" s="17"/>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row>
    <row r="438" spans="1:52" x14ac:dyDescent="0.2">
      <c r="A438" s="34"/>
      <c r="B438" s="26"/>
      <c r="C438" s="5"/>
      <c r="D438" s="5"/>
      <c r="E438" s="5"/>
      <c r="F438" s="17"/>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row>
    <row r="439" spans="1:52" x14ac:dyDescent="0.2">
      <c r="A439" s="34"/>
      <c r="B439" s="26"/>
      <c r="C439" s="5"/>
      <c r="D439" s="5"/>
      <c r="E439" s="5"/>
      <c r="F439" s="17"/>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row>
    <row r="440" spans="1:52" x14ac:dyDescent="0.2">
      <c r="A440" s="34"/>
      <c r="B440" s="26"/>
      <c r="C440" s="5"/>
      <c r="D440" s="5"/>
      <c r="E440" s="5"/>
      <c r="F440" s="17"/>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row>
    <row r="441" spans="1:52" x14ac:dyDescent="0.2">
      <c r="A441" s="34"/>
      <c r="B441" s="26"/>
      <c r="C441" s="5"/>
      <c r="D441" s="5"/>
      <c r="E441" s="5"/>
      <c r="F441" s="17"/>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row>
    <row r="442" spans="1:52" x14ac:dyDescent="0.2">
      <c r="A442" s="34"/>
      <c r="B442" s="26"/>
      <c r="C442" s="5"/>
      <c r="D442" s="5"/>
      <c r="E442" s="5"/>
      <c r="F442" s="17"/>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row>
    <row r="443" spans="1:52" x14ac:dyDescent="0.2">
      <c r="A443" s="34"/>
      <c r="B443" s="26"/>
      <c r="C443" s="5"/>
      <c r="D443" s="5"/>
      <c r="E443" s="5"/>
      <c r="F443" s="17"/>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row>
    <row r="444" spans="1:52" x14ac:dyDescent="0.2">
      <c r="A444" s="34"/>
      <c r="B444" s="26"/>
      <c r="C444" s="5"/>
      <c r="D444" s="5"/>
      <c r="E444" s="5"/>
      <c r="F444" s="17"/>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row>
    <row r="445" spans="1:52" x14ac:dyDescent="0.2">
      <c r="A445" s="34"/>
      <c r="B445" s="26"/>
      <c r="C445" s="5"/>
      <c r="D445" s="5"/>
      <c r="E445" s="5"/>
      <c r="F445" s="17"/>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row>
    <row r="446" spans="1:52" x14ac:dyDescent="0.2">
      <c r="A446" s="34"/>
      <c r="B446" s="26"/>
      <c r="C446" s="5"/>
      <c r="D446" s="5"/>
      <c r="E446" s="5"/>
      <c r="F446" s="17"/>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row>
    <row r="447" spans="1:52" x14ac:dyDescent="0.2">
      <c r="A447" s="34"/>
      <c r="B447" s="26"/>
      <c r="C447" s="5"/>
      <c r="D447" s="5"/>
      <c r="E447" s="5"/>
      <c r="F447" s="17"/>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row>
    <row r="448" spans="1:52" x14ac:dyDescent="0.2">
      <c r="A448" s="34"/>
      <c r="B448" s="26"/>
      <c r="C448" s="5"/>
      <c r="D448" s="5"/>
      <c r="E448" s="5"/>
      <c r="F448" s="17"/>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row>
    <row r="449" spans="1:52" x14ac:dyDescent="0.2">
      <c r="A449" s="34"/>
      <c r="B449" s="26"/>
      <c r="C449" s="5"/>
      <c r="D449" s="5"/>
      <c r="E449" s="5"/>
      <c r="F449" s="17"/>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row>
    <row r="450" spans="1:52" x14ac:dyDescent="0.2">
      <c r="A450" s="34"/>
      <c r="B450" s="26"/>
      <c r="C450" s="5"/>
      <c r="D450" s="5"/>
      <c r="E450" s="5"/>
      <c r="F450" s="17"/>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row>
    <row r="451" spans="1:52" x14ac:dyDescent="0.2">
      <c r="A451" s="34"/>
      <c r="B451" s="26"/>
      <c r="C451" s="5"/>
      <c r="D451" s="5"/>
      <c r="E451" s="5"/>
      <c r="F451" s="17"/>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row>
    <row r="452" spans="1:52" x14ac:dyDescent="0.2">
      <c r="A452" s="34"/>
      <c r="B452" s="26"/>
      <c r="C452" s="5"/>
      <c r="D452" s="5"/>
      <c r="E452" s="5"/>
      <c r="F452" s="17"/>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row>
    <row r="453" spans="1:52" x14ac:dyDescent="0.2">
      <c r="A453" s="34"/>
      <c r="B453" s="26"/>
      <c r="C453" s="5"/>
      <c r="D453" s="5"/>
      <c r="E453" s="5"/>
      <c r="F453" s="17"/>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row>
    <row r="454" spans="1:52" x14ac:dyDescent="0.2">
      <c r="A454" s="34"/>
      <c r="B454" s="26"/>
      <c r="C454" s="5"/>
      <c r="D454" s="5"/>
      <c r="E454" s="5"/>
      <c r="F454" s="17"/>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row>
    <row r="455" spans="1:52" x14ac:dyDescent="0.2">
      <c r="A455" s="34"/>
      <c r="B455" s="26"/>
      <c r="C455" s="5"/>
      <c r="D455" s="5"/>
      <c r="E455" s="5"/>
      <c r="F455" s="17"/>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row>
    <row r="456" spans="1:52" x14ac:dyDescent="0.2">
      <c r="A456" s="34"/>
      <c r="B456" s="26"/>
      <c r="C456" s="5"/>
      <c r="D456" s="5"/>
      <c r="E456" s="5"/>
      <c r="F456" s="17"/>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row>
    <row r="457" spans="1:52" x14ac:dyDescent="0.2">
      <c r="A457" s="34"/>
      <c r="B457" s="26"/>
      <c r="C457" s="5"/>
      <c r="D457" s="5"/>
      <c r="E457" s="5"/>
      <c r="F457" s="17"/>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row>
    <row r="458" spans="1:52" x14ac:dyDescent="0.2">
      <c r="A458" s="34"/>
      <c r="B458" s="26"/>
      <c r="C458" s="5"/>
      <c r="D458" s="5"/>
      <c r="E458" s="5"/>
      <c r="F458" s="17"/>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row>
    <row r="459" spans="1:52" x14ac:dyDescent="0.2">
      <c r="A459" s="34"/>
      <c r="B459" s="26"/>
      <c r="C459" s="5"/>
      <c r="D459" s="5"/>
      <c r="E459" s="5"/>
      <c r="F459" s="17"/>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row>
    <row r="460" spans="1:52" x14ac:dyDescent="0.2">
      <c r="A460" s="34"/>
      <c r="B460" s="26"/>
      <c r="C460" s="5"/>
      <c r="D460" s="5"/>
      <c r="E460" s="5"/>
      <c r="F460" s="17"/>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row>
    <row r="461" spans="1:52" x14ac:dyDescent="0.2">
      <c r="A461" s="34"/>
      <c r="B461" s="26"/>
      <c r="C461" s="5"/>
      <c r="D461" s="5"/>
      <c r="E461" s="5"/>
      <c r="F461" s="17"/>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row>
    <row r="462" spans="1:52" x14ac:dyDescent="0.2">
      <c r="A462" s="34"/>
      <c r="B462" s="26"/>
      <c r="C462" s="5"/>
      <c r="D462" s="5"/>
      <c r="E462" s="5"/>
      <c r="F462" s="17"/>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row>
    <row r="463" spans="1:52" x14ac:dyDescent="0.2">
      <c r="A463" s="34"/>
      <c r="B463" s="26"/>
      <c r="C463" s="5"/>
      <c r="D463" s="5"/>
      <c r="E463" s="5"/>
      <c r="F463" s="17"/>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row>
    <row r="464" spans="1:52" x14ac:dyDescent="0.2">
      <c r="A464" s="34"/>
      <c r="B464" s="26"/>
      <c r="C464" s="5"/>
      <c r="D464" s="5"/>
      <c r="E464" s="5"/>
      <c r="F464" s="17"/>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row>
    <row r="465" spans="1:52" x14ac:dyDescent="0.2">
      <c r="A465" s="34"/>
      <c r="B465" s="26"/>
      <c r="C465" s="5"/>
      <c r="D465" s="5"/>
      <c r="E465" s="5"/>
      <c r="F465" s="17"/>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row>
    <row r="466" spans="1:52" x14ac:dyDescent="0.2">
      <c r="A466" s="34"/>
      <c r="B466" s="26"/>
      <c r="C466" s="5"/>
      <c r="D466" s="5"/>
      <c r="E466" s="5"/>
      <c r="F466" s="17"/>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row>
    <row r="467" spans="1:52" x14ac:dyDescent="0.2">
      <c r="A467" s="34"/>
      <c r="B467" s="26"/>
      <c r="C467" s="5"/>
      <c r="D467" s="5"/>
      <c r="E467" s="5"/>
      <c r="F467" s="17"/>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row>
    <row r="468" spans="1:52" x14ac:dyDescent="0.2">
      <c r="A468" s="34"/>
      <c r="B468" s="26"/>
      <c r="C468" s="5"/>
      <c r="D468" s="5"/>
      <c r="E468" s="5"/>
      <c r="F468" s="17"/>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row>
    <row r="469" spans="1:52" x14ac:dyDescent="0.2">
      <c r="A469" s="34"/>
      <c r="B469" s="26"/>
      <c r="C469" s="5"/>
      <c r="D469" s="5"/>
      <c r="E469" s="5"/>
      <c r="F469" s="17"/>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row>
    <row r="470" spans="1:52" x14ac:dyDescent="0.2">
      <c r="A470" s="34"/>
      <c r="B470" s="26"/>
      <c r="C470" s="5"/>
      <c r="D470" s="5"/>
      <c r="E470" s="5"/>
      <c r="F470" s="17"/>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row>
    <row r="471" spans="1:52" x14ac:dyDescent="0.2">
      <c r="A471" s="34"/>
      <c r="B471" s="26"/>
      <c r="C471" s="5"/>
      <c r="D471" s="5"/>
      <c r="E471" s="5"/>
      <c r="F471" s="17"/>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row>
    <row r="472" spans="1:52" x14ac:dyDescent="0.2">
      <c r="A472" s="34"/>
      <c r="B472" s="26"/>
      <c r="C472" s="5"/>
      <c r="D472" s="5"/>
      <c r="E472" s="5"/>
      <c r="F472" s="17"/>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row>
    <row r="473" spans="1:52" x14ac:dyDescent="0.2">
      <c r="A473" s="34"/>
      <c r="B473" s="26"/>
      <c r="C473" s="5"/>
      <c r="D473" s="5"/>
      <c r="E473" s="5"/>
      <c r="F473" s="17"/>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row>
    <row r="474" spans="1:52" x14ac:dyDescent="0.2">
      <c r="A474" s="34"/>
      <c r="B474" s="26"/>
      <c r="C474" s="5"/>
      <c r="D474" s="5"/>
      <c r="E474" s="5"/>
      <c r="F474" s="17"/>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row>
    <row r="475" spans="1:52" x14ac:dyDescent="0.2">
      <c r="A475" s="34"/>
      <c r="B475" s="26"/>
      <c r="C475" s="5"/>
      <c r="D475" s="5"/>
      <c r="E475" s="5"/>
      <c r="F475" s="17"/>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row>
    <row r="476" spans="1:52" x14ac:dyDescent="0.2">
      <c r="A476" s="34"/>
      <c r="B476" s="26"/>
      <c r="C476" s="5"/>
      <c r="D476" s="5"/>
      <c r="E476" s="5"/>
      <c r="F476" s="17"/>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row>
    <row r="477" spans="1:52" x14ac:dyDescent="0.2">
      <c r="A477" s="34"/>
      <c r="B477" s="26"/>
      <c r="C477" s="5"/>
      <c r="D477" s="5"/>
      <c r="E477" s="5"/>
      <c r="F477" s="17"/>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row>
    <row r="478" spans="1:52" x14ac:dyDescent="0.2">
      <c r="A478" s="34"/>
      <c r="B478" s="26"/>
      <c r="C478" s="5"/>
      <c r="D478" s="5"/>
      <c r="E478" s="5"/>
      <c r="F478" s="17"/>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row>
    <row r="479" spans="1:52" x14ac:dyDescent="0.2">
      <c r="A479" s="34"/>
      <c r="B479" s="26"/>
      <c r="C479" s="5"/>
      <c r="D479" s="5"/>
      <c r="E479" s="5"/>
      <c r="F479" s="17"/>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row>
    <row r="480" spans="1:52" x14ac:dyDescent="0.2">
      <c r="A480" s="34"/>
      <c r="B480" s="26"/>
      <c r="C480" s="5"/>
      <c r="D480" s="5"/>
      <c r="E480" s="5"/>
      <c r="F480" s="17"/>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row>
    <row r="481" spans="1:52" x14ac:dyDescent="0.2">
      <c r="A481" s="34"/>
      <c r="B481" s="26"/>
      <c r="C481" s="5"/>
      <c r="D481" s="5"/>
      <c r="E481" s="5"/>
      <c r="F481" s="17"/>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row>
    <row r="482" spans="1:52" x14ac:dyDescent="0.2">
      <c r="A482" s="34"/>
      <c r="B482" s="26"/>
      <c r="C482" s="5"/>
      <c r="D482" s="5"/>
      <c r="E482" s="5"/>
      <c r="F482" s="17"/>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row>
    <row r="483" spans="1:52" x14ac:dyDescent="0.2">
      <c r="A483" s="34"/>
      <c r="B483" s="26"/>
      <c r="C483" s="5"/>
      <c r="D483" s="5"/>
      <c r="E483" s="5"/>
      <c r="F483" s="17"/>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row>
    <row r="484" spans="1:52" x14ac:dyDescent="0.2">
      <c r="A484" s="34"/>
      <c r="B484" s="26"/>
      <c r="C484" s="5"/>
      <c r="D484" s="5"/>
      <c r="E484" s="5"/>
      <c r="F484" s="17"/>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row>
    <row r="485" spans="1:52" x14ac:dyDescent="0.2">
      <c r="A485" s="34"/>
      <c r="B485" s="26"/>
      <c r="C485" s="5"/>
      <c r="D485" s="5"/>
      <c r="E485" s="5"/>
      <c r="F485" s="17"/>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c r="AF485" s="34"/>
      <c r="AG485" s="34"/>
      <c r="AH485" s="34"/>
      <c r="AI485" s="34"/>
      <c r="AJ485" s="34"/>
      <c r="AK485" s="34"/>
      <c r="AL485" s="34"/>
      <c r="AM485" s="34"/>
      <c r="AN485" s="34"/>
      <c r="AO485" s="34"/>
      <c r="AP485" s="34"/>
      <c r="AQ485" s="34"/>
      <c r="AR485" s="34"/>
      <c r="AS485" s="34"/>
      <c r="AT485" s="34"/>
      <c r="AU485" s="34"/>
      <c r="AV485" s="34"/>
      <c r="AW485" s="34"/>
      <c r="AX485" s="34"/>
      <c r="AY485" s="34"/>
      <c r="AZ485" s="34"/>
    </row>
    <row r="486" spans="1:52" x14ac:dyDescent="0.2">
      <c r="A486" s="34"/>
      <c r="B486" s="26"/>
      <c r="C486" s="5"/>
      <c r="D486" s="5"/>
      <c r="E486" s="5"/>
      <c r="F486" s="17"/>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c r="AF486" s="34"/>
      <c r="AG486" s="34"/>
      <c r="AH486" s="34"/>
      <c r="AI486" s="34"/>
      <c r="AJ486" s="34"/>
      <c r="AK486" s="34"/>
      <c r="AL486" s="34"/>
      <c r="AM486" s="34"/>
      <c r="AN486" s="34"/>
      <c r="AO486" s="34"/>
      <c r="AP486" s="34"/>
      <c r="AQ486" s="34"/>
      <c r="AR486" s="34"/>
      <c r="AS486" s="34"/>
      <c r="AT486" s="34"/>
      <c r="AU486" s="34"/>
      <c r="AV486" s="34"/>
      <c r="AW486" s="34"/>
      <c r="AX486" s="34"/>
      <c r="AY486" s="34"/>
      <c r="AZ486" s="34"/>
    </row>
    <row r="487" spans="1:52" x14ac:dyDescent="0.2">
      <c r="A487" s="34"/>
      <c r="B487" s="26"/>
      <c r="C487" s="5"/>
      <c r="D487" s="5"/>
      <c r="E487" s="5"/>
      <c r="F487" s="17"/>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c r="AF487" s="34"/>
      <c r="AG487" s="34"/>
      <c r="AH487" s="34"/>
      <c r="AI487" s="34"/>
      <c r="AJ487" s="34"/>
      <c r="AK487" s="34"/>
      <c r="AL487" s="34"/>
      <c r="AM487" s="34"/>
      <c r="AN487" s="34"/>
      <c r="AO487" s="34"/>
      <c r="AP487" s="34"/>
      <c r="AQ487" s="34"/>
      <c r="AR487" s="34"/>
      <c r="AS487" s="34"/>
      <c r="AT487" s="34"/>
      <c r="AU487" s="34"/>
      <c r="AV487" s="34"/>
      <c r="AW487" s="34"/>
      <c r="AX487" s="34"/>
      <c r="AY487" s="34"/>
      <c r="AZ487" s="34"/>
    </row>
    <row r="488" spans="1:52" x14ac:dyDescent="0.2">
      <c r="A488" s="34"/>
      <c r="B488" s="26"/>
      <c r="C488" s="5"/>
      <c r="D488" s="5"/>
      <c r="E488" s="5"/>
      <c r="F488" s="17"/>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c r="AF488" s="34"/>
      <c r="AG488" s="34"/>
      <c r="AH488" s="34"/>
      <c r="AI488" s="34"/>
      <c r="AJ488" s="34"/>
      <c r="AK488" s="34"/>
      <c r="AL488" s="34"/>
      <c r="AM488" s="34"/>
      <c r="AN488" s="34"/>
      <c r="AO488" s="34"/>
      <c r="AP488" s="34"/>
      <c r="AQ488" s="34"/>
      <c r="AR488" s="34"/>
      <c r="AS488" s="34"/>
      <c r="AT488" s="34"/>
      <c r="AU488" s="34"/>
      <c r="AV488" s="34"/>
      <c r="AW488" s="34"/>
      <c r="AX488" s="34"/>
      <c r="AY488" s="34"/>
      <c r="AZ488" s="34"/>
    </row>
    <row r="489" spans="1:52" x14ac:dyDescent="0.2">
      <c r="A489" s="34"/>
      <c r="B489" s="26"/>
      <c r="C489" s="5"/>
      <c r="D489" s="5"/>
      <c r="E489" s="5"/>
      <c r="F489" s="17"/>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c r="AF489" s="34"/>
      <c r="AG489" s="34"/>
      <c r="AH489" s="34"/>
      <c r="AI489" s="34"/>
      <c r="AJ489" s="34"/>
      <c r="AK489" s="34"/>
      <c r="AL489" s="34"/>
      <c r="AM489" s="34"/>
      <c r="AN489" s="34"/>
      <c r="AO489" s="34"/>
      <c r="AP489" s="34"/>
      <c r="AQ489" s="34"/>
      <c r="AR489" s="34"/>
      <c r="AS489" s="34"/>
      <c r="AT489" s="34"/>
      <c r="AU489" s="34"/>
      <c r="AV489" s="34"/>
      <c r="AW489" s="34"/>
      <c r="AX489" s="34"/>
      <c r="AY489" s="34"/>
      <c r="AZ489" s="34"/>
    </row>
    <row r="490" spans="1:52" x14ac:dyDescent="0.2">
      <c r="A490" s="34"/>
      <c r="B490" s="26"/>
      <c r="C490" s="5"/>
      <c r="D490" s="5"/>
      <c r="E490" s="5"/>
      <c r="F490" s="17"/>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c r="AF490" s="34"/>
      <c r="AG490" s="34"/>
      <c r="AH490" s="34"/>
      <c r="AI490" s="34"/>
      <c r="AJ490" s="34"/>
      <c r="AK490" s="34"/>
      <c r="AL490" s="34"/>
      <c r="AM490" s="34"/>
      <c r="AN490" s="34"/>
      <c r="AO490" s="34"/>
      <c r="AP490" s="34"/>
      <c r="AQ490" s="34"/>
      <c r="AR490" s="34"/>
      <c r="AS490" s="34"/>
      <c r="AT490" s="34"/>
      <c r="AU490" s="34"/>
      <c r="AV490" s="34"/>
      <c r="AW490" s="34"/>
      <c r="AX490" s="34"/>
      <c r="AY490" s="34"/>
      <c r="AZ490" s="34"/>
    </row>
    <row r="491" spans="1:52" x14ac:dyDescent="0.2">
      <c r="A491" s="34"/>
      <c r="B491" s="26"/>
      <c r="C491" s="5"/>
      <c r="D491" s="5"/>
      <c r="E491" s="5"/>
      <c r="F491" s="17"/>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c r="AF491" s="34"/>
      <c r="AG491" s="34"/>
      <c r="AH491" s="34"/>
      <c r="AI491" s="34"/>
      <c r="AJ491" s="34"/>
      <c r="AK491" s="34"/>
      <c r="AL491" s="34"/>
      <c r="AM491" s="34"/>
      <c r="AN491" s="34"/>
      <c r="AO491" s="34"/>
      <c r="AP491" s="34"/>
      <c r="AQ491" s="34"/>
      <c r="AR491" s="34"/>
      <c r="AS491" s="34"/>
      <c r="AT491" s="34"/>
      <c r="AU491" s="34"/>
      <c r="AV491" s="34"/>
      <c r="AW491" s="34"/>
      <c r="AX491" s="34"/>
      <c r="AY491" s="34"/>
      <c r="AZ491" s="34"/>
    </row>
    <row r="492" spans="1:52" x14ac:dyDescent="0.2">
      <c r="A492" s="34"/>
      <c r="B492" s="26"/>
      <c r="C492" s="5"/>
      <c r="D492" s="5"/>
      <c r="E492" s="5"/>
      <c r="F492" s="17"/>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c r="AF492" s="34"/>
      <c r="AG492" s="34"/>
      <c r="AH492" s="34"/>
      <c r="AI492" s="34"/>
      <c r="AJ492" s="34"/>
      <c r="AK492" s="34"/>
      <c r="AL492" s="34"/>
      <c r="AM492" s="34"/>
      <c r="AN492" s="34"/>
      <c r="AO492" s="34"/>
      <c r="AP492" s="34"/>
      <c r="AQ492" s="34"/>
      <c r="AR492" s="34"/>
      <c r="AS492" s="34"/>
      <c r="AT492" s="34"/>
      <c r="AU492" s="34"/>
      <c r="AV492" s="34"/>
      <c r="AW492" s="34"/>
      <c r="AX492" s="34"/>
      <c r="AY492" s="34"/>
      <c r="AZ492" s="34"/>
    </row>
    <row r="493" spans="1:52" x14ac:dyDescent="0.2">
      <c r="A493" s="34"/>
      <c r="B493" s="26"/>
      <c r="C493" s="5"/>
      <c r="D493" s="5"/>
      <c r="E493" s="5"/>
      <c r="F493" s="17"/>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c r="AF493" s="34"/>
      <c r="AG493" s="34"/>
      <c r="AH493" s="34"/>
      <c r="AI493" s="34"/>
      <c r="AJ493" s="34"/>
      <c r="AK493" s="34"/>
      <c r="AL493" s="34"/>
      <c r="AM493" s="34"/>
      <c r="AN493" s="34"/>
      <c r="AO493" s="34"/>
      <c r="AP493" s="34"/>
      <c r="AQ493" s="34"/>
      <c r="AR493" s="34"/>
      <c r="AS493" s="34"/>
      <c r="AT493" s="34"/>
      <c r="AU493" s="34"/>
      <c r="AV493" s="34"/>
      <c r="AW493" s="34"/>
      <c r="AX493" s="34"/>
      <c r="AY493" s="34"/>
      <c r="AZ493" s="34"/>
    </row>
    <row r="494" spans="1:52" x14ac:dyDescent="0.2">
      <c r="A494" s="34"/>
      <c r="B494" s="26"/>
      <c r="C494" s="5"/>
      <c r="D494" s="5"/>
      <c r="E494" s="5"/>
      <c r="F494" s="17"/>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c r="AF494" s="34"/>
      <c r="AG494" s="34"/>
      <c r="AH494" s="34"/>
      <c r="AI494" s="34"/>
      <c r="AJ494" s="34"/>
      <c r="AK494" s="34"/>
      <c r="AL494" s="34"/>
      <c r="AM494" s="34"/>
      <c r="AN494" s="34"/>
      <c r="AO494" s="34"/>
      <c r="AP494" s="34"/>
      <c r="AQ494" s="34"/>
      <c r="AR494" s="34"/>
      <c r="AS494" s="34"/>
      <c r="AT494" s="34"/>
      <c r="AU494" s="34"/>
      <c r="AV494" s="34"/>
      <c r="AW494" s="34"/>
      <c r="AX494" s="34"/>
      <c r="AY494" s="34"/>
      <c r="AZ494" s="34"/>
    </row>
    <row r="495" spans="1:52" x14ac:dyDescent="0.2">
      <c r="A495" s="34"/>
      <c r="B495" s="26"/>
      <c r="C495" s="5"/>
      <c r="D495" s="5"/>
      <c r="E495" s="5"/>
      <c r="F495" s="17"/>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c r="AF495" s="34"/>
      <c r="AG495" s="34"/>
      <c r="AH495" s="34"/>
      <c r="AI495" s="34"/>
      <c r="AJ495" s="34"/>
      <c r="AK495" s="34"/>
      <c r="AL495" s="34"/>
      <c r="AM495" s="34"/>
      <c r="AN495" s="34"/>
      <c r="AO495" s="34"/>
      <c r="AP495" s="34"/>
      <c r="AQ495" s="34"/>
      <c r="AR495" s="34"/>
      <c r="AS495" s="34"/>
      <c r="AT495" s="34"/>
      <c r="AU495" s="34"/>
      <c r="AV495" s="34"/>
      <c r="AW495" s="34"/>
      <c r="AX495" s="34"/>
      <c r="AY495" s="34"/>
      <c r="AZ495" s="34"/>
    </row>
    <row r="496" spans="1:52" x14ac:dyDescent="0.2">
      <c r="A496" s="34"/>
      <c r="B496" s="26"/>
      <c r="C496" s="5"/>
      <c r="D496" s="5"/>
      <c r="E496" s="5"/>
      <c r="F496" s="17"/>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c r="AF496" s="34"/>
      <c r="AG496" s="34"/>
      <c r="AH496" s="34"/>
      <c r="AI496" s="34"/>
      <c r="AJ496" s="34"/>
      <c r="AK496" s="34"/>
      <c r="AL496" s="34"/>
      <c r="AM496" s="34"/>
      <c r="AN496" s="34"/>
      <c r="AO496" s="34"/>
      <c r="AP496" s="34"/>
      <c r="AQ496" s="34"/>
      <c r="AR496" s="34"/>
      <c r="AS496" s="34"/>
      <c r="AT496" s="34"/>
      <c r="AU496" s="34"/>
      <c r="AV496" s="34"/>
      <c r="AW496" s="34"/>
      <c r="AX496" s="34"/>
      <c r="AY496" s="34"/>
      <c r="AZ496" s="34"/>
    </row>
    <row r="497" spans="1:52" x14ac:dyDescent="0.2">
      <c r="A497" s="34"/>
      <c r="B497" s="26"/>
      <c r="C497" s="5"/>
      <c r="D497" s="5"/>
      <c r="E497" s="5"/>
      <c r="F497" s="17"/>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c r="AF497" s="34"/>
      <c r="AG497" s="34"/>
      <c r="AH497" s="34"/>
      <c r="AI497" s="34"/>
      <c r="AJ497" s="34"/>
      <c r="AK497" s="34"/>
      <c r="AL497" s="34"/>
      <c r="AM497" s="34"/>
      <c r="AN497" s="34"/>
      <c r="AO497" s="34"/>
      <c r="AP497" s="34"/>
      <c r="AQ497" s="34"/>
      <c r="AR497" s="34"/>
      <c r="AS497" s="34"/>
      <c r="AT497" s="34"/>
      <c r="AU497" s="34"/>
      <c r="AV497" s="34"/>
      <c r="AW497" s="34"/>
      <c r="AX497" s="34"/>
      <c r="AY497" s="34"/>
      <c r="AZ497" s="34"/>
    </row>
    <row r="498" spans="1:52" x14ac:dyDescent="0.2">
      <c r="A498" s="34"/>
      <c r="B498" s="26"/>
      <c r="C498" s="5"/>
      <c r="D498" s="5"/>
      <c r="E498" s="5"/>
      <c r="F498" s="17"/>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c r="AF498" s="34"/>
      <c r="AG498" s="34"/>
      <c r="AH498" s="34"/>
      <c r="AI498" s="34"/>
      <c r="AJ498" s="34"/>
      <c r="AK498" s="34"/>
      <c r="AL498" s="34"/>
      <c r="AM498" s="34"/>
      <c r="AN498" s="34"/>
      <c r="AO498" s="34"/>
      <c r="AP498" s="34"/>
      <c r="AQ498" s="34"/>
      <c r="AR498" s="34"/>
      <c r="AS498" s="34"/>
      <c r="AT498" s="34"/>
      <c r="AU498" s="34"/>
      <c r="AV498" s="34"/>
      <c r="AW498" s="34"/>
      <c r="AX498" s="34"/>
      <c r="AY498" s="34"/>
      <c r="AZ498" s="34"/>
    </row>
    <row r="499" spans="1:52" x14ac:dyDescent="0.2">
      <c r="A499" s="34"/>
      <c r="B499" s="26"/>
      <c r="C499" s="5"/>
      <c r="D499" s="5"/>
      <c r="E499" s="5"/>
      <c r="F499" s="17"/>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c r="AF499" s="34"/>
      <c r="AG499" s="34"/>
      <c r="AH499" s="34"/>
      <c r="AI499" s="34"/>
      <c r="AJ499" s="34"/>
      <c r="AK499" s="34"/>
      <c r="AL499" s="34"/>
      <c r="AM499" s="34"/>
      <c r="AN499" s="34"/>
      <c r="AO499" s="34"/>
      <c r="AP499" s="34"/>
      <c r="AQ499" s="34"/>
      <c r="AR499" s="34"/>
      <c r="AS499" s="34"/>
      <c r="AT499" s="34"/>
      <c r="AU499" s="34"/>
      <c r="AV499" s="34"/>
      <c r="AW499" s="34"/>
      <c r="AX499" s="34"/>
      <c r="AY499" s="34"/>
      <c r="AZ499" s="34"/>
    </row>
    <row r="500" spans="1:52" x14ac:dyDescent="0.2">
      <c r="A500" s="34"/>
      <c r="B500" s="27"/>
      <c r="C500" s="13"/>
      <c r="D500" s="13"/>
      <c r="E500" s="13"/>
      <c r="F500" s="29"/>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c r="AF500" s="34"/>
      <c r="AG500" s="34"/>
      <c r="AH500" s="34"/>
      <c r="AI500" s="34"/>
      <c r="AJ500" s="34"/>
      <c r="AK500" s="34"/>
      <c r="AL500" s="34"/>
      <c r="AM500" s="34"/>
      <c r="AN500" s="34"/>
      <c r="AO500" s="34"/>
      <c r="AP500" s="34"/>
      <c r="AQ500" s="34"/>
      <c r="AR500" s="34"/>
      <c r="AS500" s="34"/>
      <c r="AT500" s="34"/>
      <c r="AU500" s="34"/>
      <c r="AV500" s="34"/>
      <c r="AW500" s="34"/>
      <c r="AX500" s="34"/>
      <c r="AY500" s="34"/>
      <c r="AZ500" s="34"/>
    </row>
    <row r="501" spans="1:52" x14ac:dyDescent="0.2">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c r="AF501" s="34"/>
      <c r="AG501" s="34"/>
      <c r="AH501" s="34"/>
      <c r="AI501" s="34"/>
      <c r="AJ501" s="34"/>
      <c r="AK501" s="34"/>
      <c r="AL501" s="34"/>
      <c r="AM501" s="34"/>
      <c r="AN501" s="34"/>
      <c r="AO501" s="34"/>
      <c r="AP501" s="34"/>
      <c r="AQ501" s="34"/>
      <c r="AR501" s="34"/>
      <c r="AS501" s="34"/>
      <c r="AT501" s="34"/>
      <c r="AU501" s="34"/>
      <c r="AV501" s="34"/>
      <c r="AW501" s="34"/>
      <c r="AX501" s="34"/>
      <c r="AY501" s="34"/>
      <c r="AZ501" s="34"/>
    </row>
    <row r="502" spans="1:52" x14ac:dyDescent="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c r="AF502" s="34"/>
      <c r="AG502" s="34"/>
      <c r="AH502" s="34"/>
      <c r="AI502" s="34"/>
      <c r="AJ502" s="34"/>
      <c r="AK502" s="34"/>
      <c r="AL502" s="34"/>
      <c r="AM502" s="34"/>
      <c r="AN502" s="34"/>
      <c r="AO502" s="34"/>
      <c r="AP502" s="34"/>
      <c r="AQ502" s="34"/>
      <c r="AR502" s="34"/>
      <c r="AS502" s="34"/>
      <c r="AT502" s="34"/>
      <c r="AU502" s="34"/>
      <c r="AV502" s="34"/>
      <c r="AW502" s="34"/>
      <c r="AX502" s="34"/>
      <c r="AY502" s="34"/>
      <c r="AZ502" s="34"/>
    </row>
    <row r="503" spans="1:52" x14ac:dyDescent="0.2">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c r="AF503" s="34"/>
      <c r="AG503" s="34"/>
      <c r="AH503" s="34"/>
      <c r="AI503" s="34"/>
      <c r="AJ503" s="34"/>
      <c r="AK503" s="34"/>
      <c r="AL503" s="34"/>
      <c r="AM503" s="34"/>
      <c r="AN503" s="34"/>
      <c r="AO503" s="34"/>
      <c r="AP503" s="34"/>
      <c r="AQ503" s="34"/>
      <c r="AR503" s="34"/>
      <c r="AS503" s="34"/>
      <c r="AT503" s="34"/>
      <c r="AU503" s="34"/>
      <c r="AV503" s="34"/>
      <c r="AW503" s="34"/>
      <c r="AX503" s="34"/>
      <c r="AY503" s="34"/>
      <c r="AZ503" s="34"/>
    </row>
    <row r="504" spans="1:52" x14ac:dyDescent="0.2">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c r="AF504" s="34"/>
      <c r="AG504" s="34"/>
      <c r="AH504" s="34"/>
      <c r="AI504" s="34"/>
      <c r="AJ504" s="34"/>
      <c r="AK504" s="34"/>
      <c r="AL504" s="34"/>
      <c r="AM504" s="34"/>
      <c r="AN504" s="34"/>
      <c r="AO504" s="34"/>
      <c r="AP504" s="34"/>
      <c r="AQ504" s="34"/>
      <c r="AR504" s="34"/>
      <c r="AS504" s="34"/>
      <c r="AT504" s="34"/>
      <c r="AU504" s="34"/>
      <c r="AV504" s="34"/>
      <c r="AW504" s="34"/>
      <c r="AX504" s="34"/>
      <c r="AY504" s="34"/>
      <c r="AZ504" s="34"/>
    </row>
    <row r="505" spans="1:52" x14ac:dyDescent="0.2">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c r="AF505" s="34"/>
      <c r="AG505" s="34"/>
      <c r="AH505" s="34"/>
      <c r="AI505" s="34"/>
      <c r="AJ505" s="34"/>
      <c r="AK505" s="34"/>
      <c r="AL505" s="34"/>
      <c r="AM505" s="34"/>
      <c r="AN505" s="34"/>
      <c r="AO505" s="34"/>
      <c r="AP505" s="34"/>
      <c r="AQ505" s="34"/>
      <c r="AR505" s="34"/>
      <c r="AS505" s="34"/>
      <c r="AT505" s="34"/>
      <c r="AU505" s="34"/>
      <c r="AV505" s="34"/>
      <c r="AW505" s="34"/>
      <c r="AX505" s="34"/>
      <c r="AY505" s="34"/>
      <c r="AZ505" s="34"/>
    </row>
    <row r="506" spans="1:52" x14ac:dyDescent="0.2">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c r="AF506" s="34"/>
      <c r="AG506" s="34"/>
      <c r="AH506" s="34"/>
      <c r="AI506" s="34"/>
      <c r="AJ506" s="34"/>
      <c r="AK506" s="34"/>
      <c r="AL506" s="34"/>
      <c r="AM506" s="34"/>
      <c r="AN506" s="34"/>
      <c r="AO506" s="34"/>
      <c r="AP506" s="34"/>
      <c r="AQ506" s="34"/>
      <c r="AR506" s="34"/>
      <c r="AS506" s="34"/>
      <c r="AT506" s="34"/>
      <c r="AU506" s="34"/>
      <c r="AV506" s="34"/>
      <c r="AW506" s="34"/>
      <c r="AX506" s="34"/>
      <c r="AY506" s="34"/>
      <c r="AZ506" s="34"/>
    </row>
    <row r="507" spans="1:52" x14ac:dyDescent="0.2">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c r="AF507" s="34"/>
      <c r="AG507" s="34"/>
      <c r="AH507" s="34"/>
      <c r="AI507" s="34"/>
      <c r="AJ507" s="34"/>
      <c r="AK507" s="34"/>
      <c r="AL507" s="34"/>
      <c r="AM507" s="34"/>
      <c r="AN507" s="34"/>
      <c r="AO507" s="34"/>
      <c r="AP507" s="34"/>
      <c r="AQ507" s="34"/>
      <c r="AR507" s="34"/>
      <c r="AS507" s="34"/>
      <c r="AT507" s="34"/>
      <c r="AU507" s="34"/>
      <c r="AV507" s="34"/>
      <c r="AW507" s="34"/>
      <c r="AX507" s="34"/>
      <c r="AY507" s="34"/>
      <c r="AZ507" s="34"/>
    </row>
    <row r="508" spans="1:52" x14ac:dyDescent="0.2">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c r="AF508" s="34"/>
      <c r="AG508" s="34"/>
      <c r="AH508" s="34"/>
      <c r="AI508" s="34"/>
      <c r="AJ508" s="34"/>
      <c r="AK508" s="34"/>
      <c r="AL508" s="34"/>
      <c r="AM508" s="34"/>
      <c r="AN508" s="34"/>
      <c r="AO508" s="34"/>
      <c r="AP508" s="34"/>
      <c r="AQ508" s="34"/>
      <c r="AR508" s="34"/>
      <c r="AS508" s="34"/>
      <c r="AT508" s="34"/>
      <c r="AU508" s="34"/>
      <c r="AV508" s="34"/>
      <c r="AW508" s="34"/>
      <c r="AX508" s="34"/>
      <c r="AY508" s="34"/>
      <c r="AZ508" s="34"/>
    </row>
    <row r="509" spans="1:52" x14ac:dyDescent="0.2">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c r="AF509" s="34"/>
      <c r="AG509" s="34"/>
      <c r="AH509" s="34"/>
      <c r="AI509" s="34"/>
      <c r="AJ509" s="34"/>
      <c r="AK509" s="34"/>
      <c r="AL509" s="34"/>
      <c r="AM509" s="34"/>
      <c r="AN509" s="34"/>
      <c r="AO509" s="34"/>
      <c r="AP509" s="34"/>
      <c r="AQ509" s="34"/>
      <c r="AR509" s="34"/>
      <c r="AS509" s="34"/>
      <c r="AT509" s="34"/>
      <c r="AU509" s="34"/>
      <c r="AV509" s="34"/>
      <c r="AW509" s="34"/>
      <c r="AX509" s="34"/>
      <c r="AY509" s="34"/>
      <c r="AZ509" s="34"/>
    </row>
    <row r="510" spans="1:52" x14ac:dyDescent="0.2">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c r="AF510" s="34"/>
      <c r="AG510" s="34"/>
      <c r="AH510" s="34"/>
      <c r="AI510" s="34"/>
      <c r="AJ510" s="34"/>
      <c r="AK510" s="34"/>
      <c r="AL510" s="34"/>
      <c r="AM510" s="34"/>
      <c r="AN510" s="34"/>
      <c r="AO510" s="34"/>
      <c r="AP510" s="34"/>
      <c r="AQ510" s="34"/>
      <c r="AR510" s="34"/>
      <c r="AS510" s="34"/>
      <c r="AT510" s="34"/>
      <c r="AU510" s="34"/>
      <c r="AV510" s="34"/>
      <c r="AW510" s="34"/>
      <c r="AX510" s="34"/>
      <c r="AY510" s="34"/>
      <c r="AZ510" s="34"/>
    </row>
    <row r="511" spans="1:52" x14ac:dyDescent="0.2">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c r="AF511" s="34"/>
      <c r="AG511" s="34"/>
      <c r="AH511" s="34"/>
      <c r="AI511" s="34"/>
      <c r="AJ511" s="34"/>
      <c r="AK511" s="34"/>
      <c r="AL511" s="34"/>
      <c r="AM511" s="34"/>
      <c r="AN511" s="34"/>
      <c r="AO511" s="34"/>
      <c r="AP511" s="34"/>
      <c r="AQ511" s="34"/>
      <c r="AR511" s="34"/>
      <c r="AS511" s="34"/>
      <c r="AT511" s="34"/>
      <c r="AU511" s="34"/>
      <c r="AV511" s="34"/>
      <c r="AW511" s="34"/>
      <c r="AX511" s="34"/>
      <c r="AY511" s="34"/>
      <c r="AZ511" s="34"/>
    </row>
    <row r="512" spans="1:52" x14ac:dyDescent="0.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c r="AF512" s="34"/>
      <c r="AG512" s="34"/>
      <c r="AH512" s="34"/>
      <c r="AI512" s="34"/>
      <c r="AJ512" s="34"/>
      <c r="AK512" s="34"/>
      <c r="AL512" s="34"/>
      <c r="AM512" s="34"/>
      <c r="AN512" s="34"/>
      <c r="AO512" s="34"/>
      <c r="AP512" s="34"/>
      <c r="AQ512" s="34"/>
      <c r="AR512" s="34"/>
      <c r="AS512" s="34"/>
      <c r="AT512" s="34"/>
      <c r="AU512" s="34"/>
      <c r="AV512" s="34"/>
      <c r="AW512" s="34"/>
      <c r="AX512" s="34"/>
      <c r="AY512" s="34"/>
      <c r="AZ512" s="34"/>
    </row>
    <row r="513" spans="1:52" x14ac:dyDescent="0.2">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c r="AF513" s="34"/>
      <c r="AG513" s="34"/>
      <c r="AH513" s="34"/>
      <c r="AI513" s="34"/>
      <c r="AJ513" s="34"/>
      <c r="AK513" s="34"/>
      <c r="AL513" s="34"/>
      <c r="AM513" s="34"/>
      <c r="AN513" s="34"/>
      <c r="AO513" s="34"/>
      <c r="AP513" s="34"/>
      <c r="AQ513" s="34"/>
      <c r="AR513" s="34"/>
      <c r="AS513" s="34"/>
      <c r="AT513" s="34"/>
      <c r="AU513" s="34"/>
      <c r="AV513" s="34"/>
      <c r="AW513" s="34"/>
      <c r="AX513" s="34"/>
      <c r="AY513" s="34"/>
      <c r="AZ513" s="34"/>
    </row>
    <row r="514" spans="1:52" x14ac:dyDescent="0.2">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c r="AF514" s="34"/>
      <c r="AG514" s="34"/>
      <c r="AH514" s="34"/>
      <c r="AI514" s="34"/>
      <c r="AJ514" s="34"/>
      <c r="AK514" s="34"/>
      <c r="AL514" s="34"/>
      <c r="AM514" s="34"/>
      <c r="AN514" s="34"/>
      <c r="AO514" s="34"/>
      <c r="AP514" s="34"/>
      <c r="AQ514" s="34"/>
      <c r="AR514" s="34"/>
      <c r="AS514" s="34"/>
      <c r="AT514" s="34"/>
      <c r="AU514" s="34"/>
      <c r="AV514" s="34"/>
      <c r="AW514" s="34"/>
      <c r="AX514" s="34"/>
      <c r="AY514" s="34"/>
      <c r="AZ514" s="34"/>
    </row>
    <row r="515" spans="1:52" x14ac:dyDescent="0.2">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c r="AF515" s="34"/>
      <c r="AG515" s="34"/>
      <c r="AH515" s="34"/>
      <c r="AI515" s="34"/>
      <c r="AJ515" s="34"/>
      <c r="AK515" s="34"/>
      <c r="AL515" s="34"/>
      <c r="AM515" s="34"/>
      <c r="AN515" s="34"/>
      <c r="AO515" s="34"/>
      <c r="AP515" s="34"/>
      <c r="AQ515" s="34"/>
      <c r="AR515" s="34"/>
      <c r="AS515" s="34"/>
      <c r="AT515" s="34"/>
      <c r="AU515" s="34"/>
      <c r="AV515" s="34"/>
      <c r="AW515" s="34"/>
      <c r="AX515" s="34"/>
      <c r="AY515" s="34"/>
      <c r="AZ515" s="34"/>
    </row>
    <row r="516" spans="1:52" x14ac:dyDescent="0.2">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c r="AF516" s="34"/>
      <c r="AG516" s="34"/>
      <c r="AH516" s="34"/>
      <c r="AI516" s="34"/>
      <c r="AJ516" s="34"/>
      <c r="AK516" s="34"/>
      <c r="AL516" s="34"/>
      <c r="AM516" s="34"/>
      <c r="AN516" s="34"/>
      <c r="AO516" s="34"/>
      <c r="AP516" s="34"/>
      <c r="AQ516" s="34"/>
      <c r="AR516" s="34"/>
      <c r="AS516" s="34"/>
      <c r="AT516" s="34"/>
      <c r="AU516" s="34"/>
      <c r="AV516" s="34"/>
      <c r="AW516" s="34"/>
      <c r="AX516" s="34"/>
      <c r="AY516" s="34"/>
      <c r="AZ516" s="34"/>
    </row>
    <row r="517" spans="1:52" x14ac:dyDescent="0.2">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c r="AF517" s="34"/>
      <c r="AG517" s="34"/>
      <c r="AH517" s="34"/>
      <c r="AI517" s="34"/>
      <c r="AJ517" s="34"/>
      <c r="AK517" s="34"/>
      <c r="AL517" s="34"/>
      <c r="AM517" s="34"/>
      <c r="AN517" s="34"/>
      <c r="AO517" s="34"/>
      <c r="AP517" s="34"/>
      <c r="AQ517" s="34"/>
      <c r="AR517" s="34"/>
      <c r="AS517" s="34"/>
      <c r="AT517" s="34"/>
      <c r="AU517" s="34"/>
      <c r="AV517" s="34"/>
      <c r="AW517" s="34"/>
      <c r="AX517" s="34"/>
      <c r="AY517" s="34"/>
      <c r="AZ517" s="34"/>
    </row>
    <row r="518" spans="1:52" x14ac:dyDescent="0.2">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c r="AF518" s="34"/>
      <c r="AG518" s="34"/>
      <c r="AH518" s="34"/>
      <c r="AI518" s="34"/>
      <c r="AJ518" s="34"/>
      <c r="AK518" s="34"/>
      <c r="AL518" s="34"/>
      <c r="AM518" s="34"/>
      <c r="AN518" s="34"/>
      <c r="AO518" s="34"/>
      <c r="AP518" s="34"/>
      <c r="AQ518" s="34"/>
      <c r="AR518" s="34"/>
      <c r="AS518" s="34"/>
      <c r="AT518" s="34"/>
      <c r="AU518" s="34"/>
      <c r="AV518" s="34"/>
      <c r="AW518" s="34"/>
      <c r="AX518" s="34"/>
      <c r="AY518" s="34"/>
      <c r="AZ518" s="34"/>
    </row>
    <row r="519" spans="1:52" x14ac:dyDescent="0.2">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c r="AF519" s="34"/>
      <c r="AG519" s="34"/>
      <c r="AH519" s="34"/>
      <c r="AI519" s="34"/>
      <c r="AJ519" s="34"/>
      <c r="AK519" s="34"/>
      <c r="AL519" s="34"/>
      <c r="AM519" s="34"/>
      <c r="AN519" s="34"/>
      <c r="AO519" s="34"/>
      <c r="AP519" s="34"/>
      <c r="AQ519" s="34"/>
      <c r="AR519" s="34"/>
      <c r="AS519" s="34"/>
      <c r="AT519" s="34"/>
      <c r="AU519" s="34"/>
      <c r="AV519" s="34"/>
      <c r="AW519" s="34"/>
      <c r="AX519" s="34"/>
      <c r="AY519" s="34"/>
      <c r="AZ519" s="34"/>
    </row>
    <row r="520" spans="1:52" x14ac:dyDescent="0.2">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c r="AF520" s="34"/>
      <c r="AG520" s="34"/>
      <c r="AH520" s="34"/>
      <c r="AI520" s="34"/>
      <c r="AJ520" s="34"/>
      <c r="AK520" s="34"/>
      <c r="AL520" s="34"/>
      <c r="AM520" s="34"/>
      <c r="AN520" s="34"/>
      <c r="AO520" s="34"/>
      <c r="AP520" s="34"/>
      <c r="AQ520" s="34"/>
      <c r="AR520" s="34"/>
      <c r="AS520" s="34"/>
      <c r="AT520" s="34"/>
      <c r="AU520" s="34"/>
      <c r="AV520" s="34"/>
      <c r="AW520" s="34"/>
      <c r="AX520" s="34"/>
      <c r="AY520" s="34"/>
      <c r="AZ520" s="34"/>
    </row>
    <row r="521" spans="1:52" x14ac:dyDescent="0.2">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c r="AF521" s="34"/>
      <c r="AG521" s="34"/>
      <c r="AH521" s="34"/>
      <c r="AI521" s="34"/>
      <c r="AJ521" s="34"/>
      <c r="AK521" s="34"/>
      <c r="AL521" s="34"/>
      <c r="AM521" s="34"/>
      <c r="AN521" s="34"/>
      <c r="AO521" s="34"/>
      <c r="AP521" s="34"/>
      <c r="AQ521" s="34"/>
      <c r="AR521" s="34"/>
      <c r="AS521" s="34"/>
      <c r="AT521" s="34"/>
      <c r="AU521" s="34"/>
      <c r="AV521" s="34"/>
      <c r="AW521" s="34"/>
      <c r="AX521" s="34"/>
      <c r="AY521" s="34"/>
      <c r="AZ521" s="34"/>
    </row>
    <row r="522" spans="1:52" x14ac:dyDescent="0.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c r="AF522" s="34"/>
      <c r="AG522" s="34"/>
      <c r="AH522" s="34"/>
      <c r="AI522" s="34"/>
      <c r="AJ522" s="34"/>
      <c r="AK522" s="34"/>
      <c r="AL522" s="34"/>
      <c r="AM522" s="34"/>
      <c r="AN522" s="34"/>
      <c r="AO522" s="34"/>
      <c r="AP522" s="34"/>
      <c r="AQ522" s="34"/>
      <c r="AR522" s="34"/>
      <c r="AS522" s="34"/>
      <c r="AT522" s="34"/>
      <c r="AU522" s="34"/>
      <c r="AV522" s="34"/>
      <c r="AW522" s="34"/>
      <c r="AX522" s="34"/>
      <c r="AY522" s="34"/>
      <c r="AZ522" s="34"/>
    </row>
    <row r="523" spans="1:52" x14ac:dyDescent="0.2">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c r="AF523" s="34"/>
      <c r="AG523" s="34"/>
      <c r="AH523" s="34"/>
      <c r="AI523" s="34"/>
      <c r="AJ523" s="34"/>
      <c r="AK523" s="34"/>
      <c r="AL523" s="34"/>
      <c r="AM523" s="34"/>
      <c r="AN523" s="34"/>
      <c r="AO523" s="34"/>
      <c r="AP523" s="34"/>
      <c r="AQ523" s="34"/>
      <c r="AR523" s="34"/>
      <c r="AS523" s="34"/>
      <c r="AT523" s="34"/>
      <c r="AU523" s="34"/>
      <c r="AV523" s="34"/>
      <c r="AW523" s="34"/>
      <c r="AX523" s="34"/>
      <c r="AY523" s="34"/>
      <c r="AZ523" s="34"/>
    </row>
    <row r="524" spans="1:52" x14ac:dyDescent="0.2">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c r="AF524" s="34"/>
      <c r="AG524" s="34"/>
      <c r="AH524" s="34"/>
      <c r="AI524" s="34"/>
      <c r="AJ524" s="34"/>
      <c r="AK524" s="34"/>
      <c r="AL524" s="34"/>
      <c r="AM524" s="34"/>
      <c r="AN524" s="34"/>
      <c r="AO524" s="34"/>
      <c r="AP524" s="34"/>
      <c r="AQ524" s="34"/>
      <c r="AR524" s="34"/>
      <c r="AS524" s="34"/>
      <c r="AT524" s="34"/>
      <c r="AU524" s="34"/>
      <c r="AV524" s="34"/>
      <c r="AW524" s="34"/>
      <c r="AX524" s="34"/>
      <c r="AY524" s="34"/>
      <c r="AZ524" s="34"/>
    </row>
    <row r="525" spans="1:52" x14ac:dyDescent="0.2">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c r="AF525" s="34"/>
      <c r="AG525" s="34"/>
      <c r="AH525" s="34"/>
      <c r="AI525" s="34"/>
      <c r="AJ525" s="34"/>
      <c r="AK525" s="34"/>
      <c r="AL525" s="34"/>
      <c r="AM525" s="34"/>
      <c r="AN525" s="34"/>
      <c r="AO525" s="34"/>
      <c r="AP525" s="34"/>
      <c r="AQ525" s="34"/>
      <c r="AR525" s="34"/>
      <c r="AS525" s="34"/>
      <c r="AT525" s="34"/>
      <c r="AU525" s="34"/>
      <c r="AV525" s="34"/>
      <c r="AW525" s="34"/>
      <c r="AX525" s="34"/>
      <c r="AY525" s="34"/>
      <c r="AZ525" s="34"/>
    </row>
    <row r="526" spans="1:52" x14ac:dyDescent="0.2">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c r="AF526" s="34"/>
      <c r="AG526" s="34"/>
      <c r="AH526" s="34"/>
      <c r="AI526" s="34"/>
      <c r="AJ526" s="34"/>
      <c r="AK526" s="34"/>
      <c r="AL526" s="34"/>
      <c r="AM526" s="34"/>
      <c r="AN526" s="34"/>
      <c r="AO526" s="34"/>
      <c r="AP526" s="34"/>
      <c r="AQ526" s="34"/>
      <c r="AR526" s="34"/>
      <c r="AS526" s="34"/>
      <c r="AT526" s="34"/>
      <c r="AU526" s="34"/>
      <c r="AV526" s="34"/>
      <c r="AW526" s="34"/>
      <c r="AX526" s="34"/>
      <c r="AY526" s="34"/>
      <c r="AZ526" s="34"/>
    </row>
    <row r="527" spans="1:52" x14ac:dyDescent="0.2">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c r="AF527" s="34"/>
      <c r="AG527" s="34"/>
      <c r="AH527" s="34"/>
      <c r="AI527" s="34"/>
      <c r="AJ527" s="34"/>
      <c r="AK527" s="34"/>
      <c r="AL527" s="34"/>
      <c r="AM527" s="34"/>
      <c r="AN527" s="34"/>
      <c r="AO527" s="34"/>
      <c r="AP527" s="34"/>
      <c r="AQ527" s="34"/>
      <c r="AR527" s="34"/>
      <c r="AS527" s="34"/>
      <c r="AT527" s="34"/>
      <c r="AU527" s="34"/>
      <c r="AV527" s="34"/>
      <c r="AW527" s="34"/>
      <c r="AX527" s="34"/>
      <c r="AY527" s="34"/>
      <c r="AZ527" s="34"/>
    </row>
    <row r="528" spans="1:52" x14ac:dyDescent="0.2">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c r="AF528" s="34"/>
      <c r="AG528" s="34"/>
      <c r="AH528" s="34"/>
      <c r="AI528" s="34"/>
      <c r="AJ528" s="34"/>
      <c r="AK528" s="34"/>
      <c r="AL528" s="34"/>
      <c r="AM528" s="34"/>
      <c r="AN528" s="34"/>
      <c r="AO528" s="34"/>
      <c r="AP528" s="34"/>
      <c r="AQ528" s="34"/>
      <c r="AR528" s="34"/>
      <c r="AS528" s="34"/>
      <c r="AT528" s="34"/>
      <c r="AU528" s="34"/>
      <c r="AV528" s="34"/>
      <c r="AW528" s="34"/>
      <c r="AX528" s="34"/>
      <c r="AY528" s="34"/>
      <c r="AZ528" s="34"/>
    </row>
    <row r="529" spans="1:52" x14ac:dyDescent="0.2">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c r="AF529" s="34"/>
      <c r="AG529" s="34"/>
      <c r="AH529" s="34"/>
      <c r="AI529" s="34"/>
      <c r="AJ529" s="34"/>
      <c r="AK529" s="34"/>
      <c r="AL529" s="34"/>
      <c r="AM529" s="34"/>
      <c r="AN529" s="34"/>
      <c r="AO529" s="34"/>
      <c r="AP529" s="34"/>
      <c r="AQ529" s="34"/>
      <c r="AR529" s="34"/>
      <c r="AS529" s="34"/>
      <c r="AT529" s="34"/>
      <c r="AU529" s="34"/>
      <c r="AV529" s="34"/>
      <c r="AW529" s="34"/>
      <c r="AX529" s="34"/>
      <c r="AY529" s="34"/>
      <c r="AZ529" s="34"/>
    </row>
    <row r="530" spans="1:52" x14ac:dyDescent="0.2">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c r="AF530" s="34"/>
      <c r="AG530" s="34"/>
      <c r="AH530" s="34"/>
      <c r="AI530" s="34"/>
      <c r="AJ530" s="34"/>
      <c r="AK530" s="34"/>
      <c r="AL530" s="34"/>
      <c r="AM530" s="34"/>
      <c r="AN530" s="34"/>
      <c r="AO530" s="34"/>
      <c r="AP530" s="34"/>
      <c r="AQ530" s="34"/>
      <c r="AR530" s="34"/>
      <c r="AS530" s="34"/>
      <c r="AT530" s="34"/>
      <c r="AU530" s="34"/>
      <c r="AV530" s="34"/>
      <c r="AW530" s="34"/>
      <c r="AX530" s="34"/>
      <c r="AY530" s="34"/>
      <c r="AZ530" s="34"/>
    </row>
    <row r="531" spans="1:52" x14ac:dyDescent="0.2">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c r="AF531" s="34"/>
      <c r="AG531" s="34"/>
      <c r="AH531" s="34"/>
      <c r="AI531" s="34"/>
      <c r="AJ531" s="34"/>
      <c r="AK531" s="34"/>
      <c r="AL531" s="34"/>
      <c r="AM531" s="34"/>
      <c r="AN531" s="34"/>
      <c r="AO531" s="34"/>
      <c r="AP531" s="34"/>
      <c r="AQ531" s="34"/>
      <c r="AR531" s="34"/>
      <c r="AS531" s="34"/>
      <c r="AT531" s="34"/>
      <c r="AU531" s="34"/>
      <c r="AV531" s="34"/>
      <c r="AW531" s="34"/>
      <c r="AX531" s="34"/>
      <c r="AY531" s="34"/>
      <c r="AZ531" s="34"/>
    </row>
    <row r="532" spans="1:52" x14ac:dyDescent="0.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c r="AF532" s="34"/>
      <c r="AG532" s="34"/>
      <c r="AH532" s="34"/>
      <c r="AI532" s="34"/>
      <c r="AJ532" s="34"/>
      <c r="AK532" s="34"/>
      <c r="AL532" s="34"/>
      <c r="AM532" s="34"/>
      <c r="AN532" s="34"/>
      <c r="AO532" s="34"/>
      <c r="AP532" s="34"/>
      <c r="AQ532" s="34"/>
      <c r="AR532" s="34"/>
      <c r="AS532" s="34"/>
      <c r="AT532" s="34"/>
      <c r="AU532" s="34"/>
      <c r="AV532" s="34"/>
      <c r="AW532" s="34"/>
      <c r="AX532" s="34"/>
      <c r="AY532" s="34"/>
      <c r="AZ532" s="34"/>
    </row>
    <row r="533" spans="1:52" x14ac:dyDescent="0.2">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c r="AF533" s="34"/>
      <c r="AG533" s="34"/>
      <c r="AH533" s="34"/>
      <c r="AI533" s="34"/>
      <c r="AJ533" s="34"/>
      <c r="AK533" s="34"/>
      <c r="AL533" s="34"/>
      <c r="AM533" s="34"/>
      <c r="AN533" s="34"/>
      <c r="AO533" s="34"/>
      <c r="AP533" s="34"/>
      <c r="AQ533" s="34"/>
      <c r="AR533" s="34"/>
      <c r="AS533" s="34"/>
      <c r="AT533" s="34"/>
      <c r="AU533" s="34"/>
      <c r="AV533" s="34"/>
      <c r="AW533" s="34"/>
      <c r="AX533" s="34"/>
      <c r="AY533" s="34"/>
      <c r="AZ533" s="34"/>
    </row>
    <row r="534" spans="1:52" x14ac:dyDescent="0.2">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c r="AF534" s="34"/>
      <c r="AG534" s="34"/>
      <c r="AH534" s="34"/>
      <c r="AI534" s="34"/>
      <c r="AJ534" s="34"/>
      <c r="AK534" s="34"/>
      <c r="AL534" s="34"/>
      <c r="AM534" s="34"/>
      <c r="AN534" s="34"/>
      <c r="AO534" s="34"/>
      <c r="AP534" s="34"/>
      <c r="AQ534" s="34"/>
      <c r="AR534" s="34"/>
      <c r="AS534" s="34"/>
      <c r="AT534" s="34"/>
      <c r="AU534" s="34"/>
      <c r="AV534" s="34"/>
      <c r="AW534" s="34"/>
      <c r="AX534" s="34"/>
      <c r="AY534" s="34"/>
      <c r="AZ534" s="34"/>
    </row>
    <row r="535" spans="1:52" x14ac:dyDescent="0.2">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c r="AF535" s="34"/>
      <c r="AG535" s="34"/>
      <c r="AH535" s="34"/>
      <c r="AI535" s="34"/>
      <c r="AJ535" s="34"/>
      <c r="AK535" s="34"/>
      <c r="AL535" s="34"/>
      <c r="AM535" s="34"/>
      <c r="AN535" s="34"/>
      <c r="AO535" s="34"/>
      <c r="AP535" s="34"/>
      <c r="AQ535" s="34"/>
      <c r="AR535" s="34"/>
      <c r="AS535" s="34"/>
      <c r="AT535" s="34"/>
      <c r="AU535" s="34"/>
      <c r="AV535" s="34"/>
      <c r="AW535" s="34"/>
      <c r="AX535" s="34"/>
      <c r="AY535" s="34"/>
      <c r="AZ535" s="34"/>
    </row>
    <row r="536" spans="1:52" x14ac:dyDescent="0.2">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c r="AF536" s="34"/>
      <c r="AG536" s="34"/>
      <c r="AH536" s="34"/>
      <c r="AI536" s="34"/>
      <c r="AJ536" s="34"/>
      <c r="AK536" s="34"/>
      <c r="AL536" s="34"/>
      <c r="AM536" s="34"/>
      <c r="AN536" s="34"/>
      <c r="AO536" s="34"/>
      <c r="AP536" s="34"/>
      <c r="AQ536" s="34"/>
      <c r="AR536" s="34"/>
      <c r="AS536" s="34"/>
      <c r="AT536" s="34"/>
      <c r="AU536" s="34"/>
      <c r="AV536" s="34"/>
      <c r="AW536" s="34"/>
      <c r="AX536" s="34"/>
      <c r="AY536" s="34"/>
      <c r="AZ536" s="34"/>
    </row>
    <row r="537" spans="1:52" x14ac:dyDescent="0.2">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c r="AF537" s="34"/>
      <c r="AG537" s="34"/>
      <c r="AH537" s="34"/>
      <c r="AI537" s="34"/>
      <c r="AJ537" s="34"/>
      <c r="AK537" s="34"/>
      <c r="AL537" s="34"/>
      <c r="AM537" s="34"/>
      <c r="AN537" s="34"/>
      <c r="AO537" s="34"/>
      <c r="AP537" s="34"/>
      <c r="AQ537" s="34"/>
      <c r="AR537" s="34"/>
      <c r="AS537" s="34"/>
      <c r="AT537" s="34"/>
      <c r="AU537" s="34"/>
      <c r="AV537" s="34"/>
      <c r="AW537" s="34"/>
      <c r="AX537" s="34"/>
      <c r="AY537" s="34"/>
      <c r="AZ537" s="34"/>
    </row>
    <row r="538" spans="1:52" x14ac:dyDescent="0.2">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c r="AF538" s="34"/>
      <c r="AG538" s="34"/>
      <c r="AH538" s="34"/>
      <c r="AI538" s="34"/>
      <c r="AJ538" s="34"/>
      <c r="AK538" s="34"/>
      <c r="AL538" s="34"/>
      <c r="AM538" s="34"/>
      <c r="AN538" s="34"/>
      <c r="AO538" s="34"/>
      <c r="AP538" s="34"/>
      <c r="AQ538" s="34"/>
      <c r="AR538" s="34"/>
      <c r="AS538" s="34"/>
      <c r="AT538" s="34"/>
      <c r="AU538" s="34"/>
      <c r="AV538" s="34"/>
      <c r="AW538" s="34"/>
      <c r="AX538" s="34"/>
      <c r="AY538" s="34"/>
      <c r="AZ538" s="34"/>
    </row>
    <row r="539" spans="1:52" x14ac:dyDescent="0.2">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c r="AF539" s="34"/>
      <c r="AG539" s="34"/>
      <c r="AH539" s="34"/>
      <c r="AI539" s="34"/>
      <c r="AJ539" s="34"/>
      <c r="AK539" s="34"/>
      <c r="AL539" s="34"/>
      <c r="AM539" s="34"/>
      <c r="AN539" s="34"/>
      <c r="AO539" s="34"/>
      <c r="AP539" s="34"/>
      <c r="AQ539" s="34"/>
      <c r="AR539" s="34"/>
      <c r="AS539" s="34"/>
      <c r="AT539" s="34"/>
      <c r="AU539" s="34"/>
      <c r="AV539" s="34"/>
      <c r="AW539" s="34"/>
      <c r="AX539" s="34"/>
      <c r="AY539" s="34"/>
      <c r="AZ539" s="34"/>
    </row>
    <row r="540" spans="1:52" x14ac:dyDescent="0.2">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c r="AF540" s="34"/>
      <c r="AG540" s="34"/>
      <c r="AH540" s="34"/>
      <c r="AI540" s="34"/>
      <c r="AJ540" s="34"/>
      <c r="AK540" s="34"/>
      <c r="AL540" s="34"/>
      <c r="AM540" s="34"/>
      <c r="AN540" s="34"/>
      <c r="AO540" s="34"/>
      <c r="AP540" s="34"/>
      <c r="AQ540" s="34"/>
      <c r="AR540" s="34"/>
      <c r="AS540" s="34"/>
      <c r="AT540" s="34"/>
      <c r="AU540" s="34"/>
      <c r="AV540" s="34"/>
      <c r="AW540" s="34"/>
      <c r="AX540" s="34"/>
      <c r="AY540" s="34"/>
      <c r="AZ540" s="34"/>
    </row>
    <row r="541" spans="1:52" x14ac:dyDescent="0.2">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c r="AF541" s="34"/>
      <c r="AG541" s="34"/>
      <c r="AH541" s="34"/>
      <c r="AI541" s="34"/>
      <c r="AJ541" s="34"/>
      <c r="AK541" s="34"/>
      <c r="AL541" s="34"/>
      <c r="AM541" s="34"/>
      <c r="AN541" s="34"/>
      <c r="AO541" s="34"/>
      <c r="AP541" s="34"/>
      <c r="AQ541" s="34"/>
      <c r="AR541" s="34"/>
      <c r="AS541" s="34"/>
      <c r="AT541" s="34"/>
      <c r="AU541" s="34"/>
      <c r="AV541" s="34"/>
      <c r="AW541" s="34"/>
      <c r="AX541" s="34"/>
      <c r="AY541" s="34"/>
      <c r="AZ541" s="34"/>
    </row>
    <row r="542" spans="1:52" x14ac:dyDescent="0.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c r="AF542" s="34"/>
      <c r="AG542" s="34"/>
      <c r="AH542" s="34"/>
      <c r="AI542" s="34"/>
      <c r="AJ542" s="34"/>
      <c r="AK542" s="34"/>
      <c r="AL542" s="34"/>
      <c r="AM542" s="34"/>
      <c r="AN542" s="34"/>
      <c r="AO542" s="34"/>
      <c r="AP542" s="34"/>
      <c r="AQ542" s="34"/>
      <c r="AR542" s="34"/>
      <c r="AS542" s="34"/>
      <c r="AT542" s="34"/>
      <c r="AU542" s="34"/>
      <c r="AV542" s="34"/>
      <c r="AW542" s="34"/>
      <c r="AX542" s="34"/>
      <c r="AY542" s="34"/>
      <c r="AZ542" s="34"/>
    </row>
    <row r="543" spans="1:52" x14ac:dyDescent="0.2">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c r="AF543" s="34"/>
      <c r="AG543" s="34"/>
      <c r="AH543" s="34"/>
      <c r="AI543" s="34"/>
      <c r="AJ543" s="34"/>
      <c r="AK543" s="34"/>
      <c r="AL543" s="34"/>
      <c r="AM543" s="34"/>
      <c r="AN543" s="34"/>
      <c r="AO543" s="34"/>
      <c r="AP543" s="34"/>
      <c r="AQ543" s="34"/>
      <c r="AR543" s="34"/>
      <c r="AS543" s="34"/>
      <c r="AT543" s="34"/>
      <c r="AU543" s="34"/>
      <c r="AV543" s="34"/>
      <c r="AW543" s="34"/>
      <c r="AX543" s="34"/>
      <c r="AY543" s="34"/>
      <c r="AZ543" s="34"/>
    </row>
    <row r="544" spans="1:52" x14ac:dyDescent="0.2">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c r="AF544" s="34"/>
      <c r="AG544" s="34"/>
      <c r="AH544" s="34"/>
      <c r="AI544" s="34"/>
      <c r="AJ544" s="34"/>
      <c r="AK544" s="34"/>
      <c r="AL544" s="34"/>
      <c r="AM544" s="34"/>
      <c r="AN544" s="34"/>
      <c r="AO544" s="34"/>
      <c r="AP544" s="34"/>
      <c r="AQ544" s="34"/>
      <c r="AR544" s="34"/>
      <c r="AS544" s="34"/>
      <c r="AT544" s="34"/>
      <c r="AU544" s="34"/>
      <c r="AV544" s="34"/>
      <c r="AW544" s="34"/>
      <c r="AX544" s="34"/>
      <c r="AY544" s="34"/>
      <c r="AZ544" s="34"/>
    </row>
    <row r="545" spans="1:52" x14ac:dyDescent="0.2">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c r="AF545" s="34"/>
      <c r="AG545" s="34"/>
      <c r="AH545" s="34"/>
      <c r="AI545" s="34"/>
      <c r="AJ545" s="34"/>
      <c r="AK545" s="34"/>
      <c r="AL545" s="34"/>
      <c r="AM545" s="34"/>
      <c r="AN545" s="34"/>
      <c r="AO545" s="34"/>
      <c r="AP545" s="34"/>
      <c r="AQ545" s="34"/>
      <c r="AR545" s="34"/>
      <c r="AS545" s="34"/>
      <c r="AT545" s="34"/>
      <c r="AU545" s="34"/>
      <c r="AV545" s="34"/>
      <c r="AW545" s="34"/>
      <c r="AX545" s="34"/>
      <c r="AY545" s="34"/>
      <c r="AZ545" s="34"/>
    </row>
    <row r="546" spans="1:52" x14ac:dyDescent="0.2">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c r="AF546" s="34"/>
      <c r="AG546" s="34"/>
      <c r="AH546" s="34"/>
      <c r="AI546" s="34"/>
      <c r="AJ546" s="34"/>
      <c r="AK546" s="34"/>
      <c r="AL546" s="34"/>
      <c r="AM546" s="34"/>
      <c r="AN546" s="34"/>
      <c r="AO546" s="34"/>
      <c r="AP546" s="34"/>
      <c r="AQ546" s="34"/>
      <c r="AR546" s="34"/>
      <c r="AS546" s="34"/>
      <c r="AT546" s="34"/>
      <c r="AU546" s="34"/>
      <c r="AV546" s="34"/>
      <c r="AW546" s="34"/>
      <c r="AX546" s="34"/>
      <c r="AY546" s="34"/>
      <c r="AZ546" s="34"/>
    </row>
    <row r="547" spans="1:52" x14ac:dyDescent="0.2">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c r="AF547" s="34"/>
      <c r="AG547" s="34"/>
      <c r="AH547" s="34"/>
      <c r="AI547" s="34"/>
      <c r="AJ547" s="34"/>
      <c r="AK547" s="34"/>
      <c r="AL547" s="34"/>
      <c r="AM547" s="34"/>
      <c r="AN547" s="34"/>
      <c r="AO547" s="34"/>
      <c r="AP547" s="34"/>
      <c r="AQ547" s="34"/>
      <c r="AR547" s="34"/>
      <c r="AS547" s="34"/>
      <c r="AT547" s="34"/>
      <c r="AU547" s="34"/>
      <c r="AV547" s="34"/>
      <c r="AW547" s="34"/>
      <c r="AX547" s="34"/>
      <c r="AY547" s="34"/>
      <c r="AZ547" s="34"/>
    </row>
    <row r="548" spans="1:52" x14ac:dyDescent="0.2">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c r="AF548" s="34"/>
      <c r="AG548" s="34"/>
      <c r="AH548" s="34"/>
      <c r="AI548" s="34"/>
      <c r="AJ548" s="34"/>
      <c r="AK548" s="34"/>
      <c r="AL548" s="34"/>
      <c r="AM548" s="34"/>
      <c r="AN548" s="34"/>
      <c r="AO548" s="34"/>
      <c r="AP548" s="34"/>
      <c r="AQ548" s="34"/>
      <c r="AR548" s="34"/>
      <c r="AS548" s="34"/>
      <c r="AT548" s="34"/>
      <c r="AU548" s="34"/>
      <c r="AV548" s="34"/>
      <c r="AW548" s="34"/>
      <c r="AX548" s="34"/>
      <c r="AY548" s="34"/>
      <c r="AZ548" s="34"/>
    </row>
    <row r="549" spans="1:52" x14ac:dyDescent="0.2">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c r="AF549" s="34"/>
      <c r="AG549" s="34"/>
      <c r="AH549" s="34"/>
      <c r="AI549" s="34"/>
      <c r="AJ549" s="34"/>
      <c r="AK549" s="34"/>
      <c r="AL549" s="34"/>
      <c r="AM549" s="34"/>
      <c r="AN549" s="34"/>
      <c r="AO549" s="34"/>
      <c r="AP549" s="34"/>
      <c r="AQ549" s="34"/>
      <c r="AR549" s="34"/>
      <c r="AS549" s="34"/>
      <c r="AT549" s="34"/>
      <c r="AU549" s="34"/>
      <c r="AV549" s="34"/>
      <c r="AW549" s="34"/>
      <c r="AX549" s="34"/>
      <c r="AY549" s="34"/>
      <c r="AZ549" s="34"/>
    </row>
    <row r="550" spans="1:52" x14ac:dyDescent="0.2">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c r="AF550" s="34"/>
      <c r="AG550" s="34"/>
      <c r="AH550" s="34"/>
      <c r="AI550" s="34"/>
      <c r="AJ550" s="34"/>
      <c r="AK550" s="34"/>
      <c r="AL550" s="34"/>
      <c r="AM550" s="34"/>
      <c r="AN550" s="34"/>
      <c r="AO550" s="34"/>
      <c r="AP550" s="34"/>
      <c r="AQ550" s="34"/>
      <c r="AR550" s="34"/>
      <c r="AS550" s="34"/>
      <c r="AT550" s="34"/>
      <c r="AU550" s="34"/>
      <c r="AV550" s="34"/>
      <c r="AW550" s="34"/>
      <c r="AX550" s="34"/>
      <c r="AY550" s="34"/>
      <c r="AZ550" s="34"/>
    </row>
    <row r="551" spans="1:52" x14ac:dyDescent="0.2">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c r="AF551" s="34"/>
      <c r="AG551" s="34"/>
      <c r="AH551" s="34"/>
      <c r="AI551" s="34"/>
      <c r="AJ551" s="34"/>
      <c r="AK551" s="34"/>
      <c r="AL551" s="34"/>
      <c r="AM551" s="34"/>
      <c r="AN551" s="34"/>
      <c r="AO551" s="34"/>
      <c r="AP551" s="34"/>
      <c r="AQ551" s="34"/>
      <c r="AR551" s="34"/>
      <c r="AS551" s="34"/>
      <c r="AT551" s="34"/>
      <c r="AU551" s="34"/>
      <c r="AV551" s="34"/>
      <c r="AW551" s="34"/>
      <c r="AX551" s="34"/>
      <c r="AY551" s="34"/>
      <c r="AZ551" s="34"/>
    </row>
    <row r="552" spans="1:52" x14ac:dyDescent="0.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c r="AF552" s="34"/>
      <c r="AG552" s="34"/>
      <c r="AH552" s="34"/>
      <c r="AI552" s="34"/>
      <c r="AJ552" s="34"/>
      <c r="AK552" s="34"/>
      <c r="AL552" s="34"/>
      <c r="AM552" s="34"/>
      <c r="AN552" s="34"/>
      <c r="AO552" s="34"/>
      <c r="AP552" s="34"/>
      <c r="AQ552" s="34"/>
      <c r="AR552" s="34"/>
      <c r="AS552" s="34"/>
      <c r="AT552" s="34"/>
      <c r="AU552" s="34"/>
      <c r="AV552" s="34"/>
      <c r="AW552" s="34"/>
      <c r="AX552" s="34"/>
      <c r="AY552" s="34"/>
      <c r="AZ552" s="34"/>
    </row>
    <row r="553" spans="1:52" x14ac:dyDescent="0.2">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c r="AF553" s="34"/>
      <c r="AG553" s="34"/>
      <c r="AH553" s="34"/>
      <c r="AI553" s="34"/>
      <c r="AJ553" s="34"/>
      <c r="AK553" s="34"/>
      <c r="AL553" s="34"/>
      <c r="AM553" s="34"/>
      <c r="AN553" s="34"/>
      <c r="AO553" s="34"/>
      <c r="AP553" s="34"/>
      <c r="AQ553" s="34"/>
      <c r="AR553" s="34"/>
      <c r="AS553" s="34"/>
      <c r="AT553" s="34"/>
      <c r="AU553" s="34"/>
      <c r="AV553" s="34"/>
      <c r="AW553" s="34"/>
      <c r="AX553" s="34"/>
      <c r="AY553" s="34"/>
      <c r="AZ553" s="34"/>
    </row>
    <row r="554" spans="1:52" x14ac:dyDescent="0.2">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c r="AF554" s="34"/>
      <c r="AG554" s="34"/>
      <c r="AH554" s="34"/>
      <c r="AI554" s="34"/>
      <c r="AJ554" s="34"/>
      <c r="AK554" s="34"/>
      <c r="AL554" s="34"/>
      <c r="AM554" s="34"/>
      <c r="AN554" s="34"/>
      <c r="AO554" s="34"/>
      <c r="AP554" s="34"/>
      <c r="AQ554" s="34"/>
      <c r="AR554" s="34"/>
      <c r="AS554" s="34"/>
      <c r="AT554" s="34"/>
      <c r="AU554" s="34"/>
      <c r="AV554" s="34"/>
      <c r="AW554" s="34"/>
      <c r="AX554" s="34"/>
      <c r="AY554" s="34"/>
      <c r="AZ554" s="34"/>
    </row>
    <row r="555" spans="1:52" x14ac:dyDescent="0.2">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c r="AF555" s="34"/>
      <c r="AG555" s="34"/>
      <c r="AH555" s="34"/>
      <c r="AI555" s="34"/>
      <c r="AJ555" s="34"/>
      <c r="AK555" s="34"/>
      <c r="AL555" s="34"/>
      <c r="AM555" s="34"/>
      <c r="AN555" s="34"/>
      <c r="AO555" s="34"/>
      <c r="AP555" s="34"/>
      <c r="AQ555" s="34"/>
      <c r="AR555" s="34"/>
      <c r="AS555" s="34"/>
      <c r="AT555" s="34"/>
      <c r="AU555" s="34"/>
      <c r="AV555" s="34"/>
      <c r="AW555" s="34"/>
      <c r="AX555" s="34"/>
      <c r="AY555" s="34"/>
      <c r="AZ555" s="34"/>
    </row>
    <row r="556" spans="1:52" x14ac:dyDescent="0.2">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c r="AF556" s="34"/>
      <c r="AG556" s="34"/>
      <c r="AH556" s="34"/>
      <c r="AI556" s="34"/>
      <c r="AJ556" s="34"/>
      <c r="AK556" s="34"/>
      <c r="AL556" s="34"/>
      <c r="AM556" s="34"/>
      <c r="AN556" s="34"/>
      <c r="AO556" s="34"/>
      <c r="AP556" s="34"/>
      <c r="AQ556" s="34"/>
      <c r="AR556" s="34"/>
      <c r="AS556" s="34"/>
      <c r="AT556" s="34"/>
      <c r="AU556" s="34"/>
      <c r="AV556" s="34"/>
      <c r="AW556" s="34"/>
      <c r="AX556" s="34"/>
      <c r="AY556" s="34"/>
      <c r="AZ556" s="34"/>
    </row>
    <row r="557" spans="1:52" x14ac:dyDescent="0.2">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c r="AF557" s="34"/>
      <c r="AG557" s="34"/>
      <c r="AH557" s="34"/>
      <c r="AI557" s="34"/>
      <c r="AJ557" s="34"/>
      <c r="AK557" s="34"/>
      <c r="AL557" s="34"/>
      <c r="AM557" s="34"/>
      <c r="AN557" s="34"/>
      <c r="AO557" s="34"/>
      <c r="AP557" s="34"/>
      <c r="AQ557" s="34"/>
      <c r="AR557" s="34"/>
      <c r="AS557" s="34"/>
      <c r="AT557" s="34"/>
      <c r="AU557" s="34"/>
      <c r="AV557" s="34"/>
      <c r="AW557" s="34"/>
      <c r="AX557" s="34"/>
      <c r="AY557" s="34"/>
      <c r="AZ557" s="34"/>
    </row>
    <row r="558" spans="1:52" x14ac:dyDescent="0.2">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c r="AF558" s="34"/>
      <c r="AG558" s="34"/>
      <c r="AH558" s="34"/>
      <c r="AI558" s="34"/>
      <c r="AJ558" s="34"/>
      <c r="AK558" s="34"/>
      <c r="AL558" s="34"/>
      <c r="AM558" s="34"/>
      <c r="AN558" s="34"/>
      <c r="AO558" s="34"/>
      <c r="AP558" s="34"/>
      <c r="AQ558" s="34"/>
      <c r="AR558" s="34"/>
      <c r="AS558" s="34"/>
      <c r="AT558" s="34"/>
      <c r="AU558" s="34"/>
      <c r="AV558" s="34"/>
      <c r="AW558" s="34"/>
      <c r="AX558" s="34"/>
      <c r="AY558" s="34"/>
      <c r="AZ558" s="34"/>
    </row>
    <row r="559" spans="1:52" x14ac:dyDescent="0.2">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c r="AF559" s="34"/>
      <c r="AG559" s="34"/>
      <c r="AH559" s="34"/>
      <c r="AI559" s="34"/>
      <c r="AJ559" s="34"/>
      <c r="AK559" s="34"/>
      <c r="AL559" s="34"/>
      <c r="AM559" s="34"/>
      <c r="AN559" s="34"/>
      <c r="AO559" s="34"/>
      <c r="AP559" s="34"/>
      <c r="AQ559" s="34"/>
      <c r="AR559" s="34"/>
      <c r="AS559" s="34"/>
      <c r="AT559" s="34"/>
      <c r="AU559" s="34"/>
      <c r="AV559" s="34"/>
      <c r="AW559" s="34"/>
      <c r="AX559" s="34"/>
      <c r="AY559" s="34"/>
      <c r="AZ559" s="34"/>
    </row>
    <row r="560" spans="1:52" x14ac:dyDescent="0.2">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c r="AF560" s="34"/>
      <c r="AG560" s="34"/>
      <c r="AH560" s="34"/>
      <c r="AI560" s="34"/>
      <c r="AJ560" s="34"/>
      <c r="AK560" s="34"/>
      <c r="AL560" s="34"/>
      <c r="AM560" s="34"/>
      <c r="AN560" s="34"/>
      <c r="AO560" s="34"/>
      <c r="AP560" s="34"/>
      <c r="AQ560" s="34"/>
      <c r="AR560" s="34"/>
      <c r="AS560" s="34"/>
      <c r="AT560" s="34"/>
      <c r="AU560" s="34"/>
      <c r="AV560" s="34"/>
      <c r="AW560" s="34"/>
      <c r="AX560" s="34"/>
      <c r="AY560" s="34"/>
      <c r="AZ560" s="34"/>
    </row>
    <row r="561" spans="1:52" x14ac:dyDescent="0.2">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c r="AF561" s="34"/>
      <c r="AG561" s="34"/>
      <c r="AH561" s="34"/>
      <c r="AI561" s="34"/>
      <c r="AJ561" s="34"/>
      <c r="AK561" s="34"/>
      <c r="AL561" s="34"/>
      <c r="AM561" s="34"/>
      <c r="AN561" s="34"/>
      <c r="AO561" s="34"/>
      <c r="AP561" s="34"/>
      <c r="AQ561" s="34"/>
      <c r="AR561" s="34"/>
      <c r="AS561" s="34"/>
      <c r="AT561" s="34"/>
      <c r="AU561" s="34"/>
      <c r="AV561" s="34"/>
      <c r="AW561" s="34"/>
      <c r="AX561" s="34"/>
      <c r="AY561" s="34"/>
      <c r="AZ561" s="34"/>
    </row>
    <row r="562" spans="1:52" x14ac:dyDescent="0.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c r="AF562" s="34"/>
      <c r="AG562" s="34"/>
      <c r="AH562" s="34"/>
      <c r="AI562" s="34"/>
      <c r="AJ562" s="34"/>
      <c r="AK562" s="34"/>
      <c r="AL562" s="34"/>
      <c r="AM562" s="34"/>
      <c r="AN562" s="34"/>
      <c r="AO562" s="34"/>
      <c r="AP562" s="34"/>
      <c r="AQ562" s="34"/>
      <c r="AR562" s="34"/>
      <c r="AS562" s="34"/>
      <c r="AT562" s="34"/>
      <c r="AU562" s="34"/>
      <c r="AV562" s="34"/>
      <c r="AW562" s="34"/>
      <c r="AX562" s="34"/>
      <c r="AY562" s="34"/>
      <c r="AZ562" s="34"/>
    </row>
    <row r="563" spans="1:52" x14ac:dyDescent="0.2">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c r="AF563" s="34"/>
      <c r="AG563" s="34"/>
      <c r="AH563" s="34"/>
      <c r="AI563" s="34"/>
      <c r="AJ563" s="34"/>
      <c r="AK563" s="34"/>
      <c r="AL563" s="34"/>
      <c r="AM563" s="34"/>
      <c r="AN563" s="34"/>
      <c r="AO563" s="34"/>
      <c r="AP563" s="34"/>
      <c r="AQ563" s="34"/>
      <c r="AR563" s="34"/>
      <c r="AS563" s="34"/>
      <c r="AT563" s="34"/>
      <c r="AU563" s="34"/>
      <c r="AV563" s="34"/>
      <c r="AW563" s="34"/>
      <c r="AX563" s="34"/>
      <c r="AY563" s="34"/>
      <c r="AZ563" s="34"/>
    </row>
    <row r="564" spans="1:52" x14ac:dyDescent="0.2">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c r="AF564" s="34"/>
      <c r="AG564" s="34"/>
      <c r="AH564" s="34"/>
      <c r="AI564" s="34"/>
      <c r="AJ564" s="34"/>
      <c r="AK564" s="34"/>
      <c r="AL564" s="34"/>
      <c r="AM564" s="34"/>
      <c r="AN564" s="34"/>
      <c r="AO564" s="34"/>
      <c r="AP564" s="34"/>
      <c r="AQ564" s="34"/>
      <c r="AR564" s="34"/>
      <c r="AS564" s="34"/>
      <c r="AT564" s="34"/>
      <c r="AU564" s="34"/>
      <c r="AV564" s="34"/>
      <c r="AW564" s="34"/>
      <c r="AX564" s="34"/>
      <c r="AY564" s="34"/>
      <c r="AZ564" s="34"/>
    </row>
    <row r="565" spans="1:52" x14ac:dyDescent="0.2">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c r="AF565" s="34"/>
      <c r="AG565" s="34"/>
      <c r="AH565" s="34"/>
      <c r="AI565" s="34"/>
      <c r="AJ565" s="34"/>
      <c r="AK565" s="34"/>
      <c r="AL565" s="34"/>
      <c r="AM565" s="34"/>
      <c r="AN565" s="34"/>
      <c r="AO565" s="34"/>
      <c r="AP565" s="34"/>
      <c r="AQ565" s="34"/>
      <c r="AR565" s="34"/>
      <c r="AS565" s="34"/>
      <c r="AT565" s="34"/>
      <c r="AU565" s="34"/>
      <c r="AV565" s="34"/>
      <c r="AW565" s="34"/>
      <c r="AX565" s="34"/>
      <c r="AY565" s="34"/>
      <c r="AZ565" s="34"/>
    </row>
    <row r="566" spans="1:52" x14ac:dyDescent="0.2">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c r="AF566" s="34"/>
      <c r="AG566" s="34"/>
      <c r="AH566" s="34"/>
      <c r="AI566" s="34"/>
      <c r="AJ566" s="34"/>
      <c r="AK566" s="34"/>
      <c r="AL566" s="34"/>
      <c r="AM566" s="34"/>
      <c r="AN566" s="34"/>
      <c r="AO566" s="34"/>
      <c r="AP566" s="34"/>
      <c r="AQ566" s="34"/>
      <c r="AR566" s="34"/>
      <c r="AS566" s="34"/>
      <c r="AT566" s="34"/>
      <c r="AU566" s="34"/>
      <c r="AV566" s="34"/>
      <c r="AW566" s="34"/>
      <c r="AX566" s="34"/>
      <c r="AY566" s="34"/>
      <c r="AZ566" s="34"/>
    </row>
    <row r="567" spans="1:52" x14ac:dyDescent="0.2">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c r="AF567" s="34"/>
      <c r="AG567" s="34"/>
      <c r="AH567" s="34"/>
      <c r="AI567" s="34"/>
      <c r="AJ567" s="34"/>
      <c r="AK567" s="34"/>
      <c r="AL567" s="34"/>
      <c r="AM567" s="34"/>
      <c r="AN567" s="34"/>
      <c r="AO567" s="34"/>
      <c r="AP567" s="34"/>
      <c r="AQ567" s="34"/>
      <c r="AR567" s="34"/>
      <c r="AS567" s="34"/>
      <c r="AT567" s="34"/>
      <c r="AU567" s="34"/>
      <c r="AV567" s="34"/>
      <c r="AW567" s="34"/>
      <c r="AX567" s="34"/>
      <c r="AY567" s="34"/>
      <c r="AZ567" s="34"/>
    </row>
    <row r="568" spans="1:52" x14ac:dyDescent="0.2">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c r="AF568" s="34"/>
      <c r="AG568" s="34"/>
      <c r="AH568" s="34"/>
      <c r="AI568" s="34"/>
      <c r="AJ568" s="34"/>
      <c r="AK568" s="34"/>
      <c r="AL568" s="34"/>
      <c r="AM568" s="34"/>
      <c r="AN568" s="34"/>
      <c r="AO568" s="34"/>
      <c r="AP568" s="34"/>
      <c r="AQ568" s="34"/>
      <c r="AR568" s="34"/>
      <c r="AS568" s="34"/>
      <c r="AT568" s="34"/>
      <c r="AU568" s="34"/>
      <c r="AV568" s="34"/>
      <c r="AW568" s="34"/>
      <c r="AX568" s="34"/>
      <c r="AY568" s="34"/>
      <c r="AZ568" s="34"/>
    </row>
    <row r="569" spans="1:52" x14ac:dyDescent="0.2">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c r="AF569" s="34"/>
      <c r="AG569" s="34"/>
      <c r="AH569" s="34"/>
      <c r="AI569" s="34"/>
      <c r="AJ569" s="34"/>
      <c r="AK569" s="34"/>
      <c r="AL569" s="34"/>
      <c r="AM569" s="34"/>
      <c r="AN569" s="34"/>
      <c r="AO569" s="34"/>
      <c r="AP569" s="34"/>
      <c r="AQ569" s="34"/>
      <c r="AR569" s="34"/>
      <c r="AS569" s="34"/>
      <c r="AT569" s="34"/>
      <c r="AU569" s="34"/>
      <c r="AV569" s="34"/>
      <c r="AW569" s="34"/>
      <c r="AX569" s="34"/>
      <c r="AY569" s="34"/>
      <c r="AZ569" s="34"/>
    </row>
    <row r="570" spans="1:52" x14ac:dyDescent="0.2">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c r="AF570" s="34"/>
      <c r="AG570" s="34"/>
      <c r="AH570" s="34"/>
      <c r="AI570" s="34"/>
      <c r="AJ570" s="34"/>
      <c r="AK570" s="34"/>
      <c r="AL570" s="34"/>
      <c r="AM570" s="34"/>
      <c r="AN570" s="34"/>
      <c r="AO570" s="34"/>
      <c r="AP570" s="34"/>
      <c r="AQ570" s="34"/>
      <c r="AR570" s="34"/>
      <c r="AS570" s="34"/>
      <c r="AT570" s="34"/>
      <c r="AU570" s="34"/>
      <c r="AV570" s="34"/>
      <c r="AW570" s="34"/>
      <c r="AX570" s="34"/>
      <c r="AY570" s="34"/>
      <c r="AZ570" s="34"/>
    </row>
    <row r="571" spans="1:52" x14ac:dyDescent="0.2">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c r="AF571" s="34"/>
      <c r="AG571" s="34"/>
      <c r="AH571" s="34"/>
      <c r="AI571" s="34"/>
      <c r="AJ571" s="34"/>
      <c r="AK571" s="34"/>
      <c r="AL571" s="34"/>
      <c r="AM571" s="34"/>
      <c r="AN571" s="34"/>
      <c r="AO571" s="34"/>
      <c r="AP571" s="34"/>
      <c r="AQ571" s="34"/>
      <c r="AR571" s="34"/>
      <c r="AS571" s="34"/>
      <c r="AT571" s="34"/>
      <c r="AU571" s="34"/>
      <c r="AV571" s="34"/>
      <c r="AW571" s="34"/>
      <c r="AX571" s="34"/>
      <c r="AY571" s="34"/>
      <c r="AZ571" s="34"/>
    </row>
    <row r="572" spans="1:52" x14ac:dyDescent="0.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c r="AF572" s="34"/>
      <c r="AG572" s="34"/>
      <c r="AH572" s="34"/>
      <c r="AI572" s="34"/>
      <c r="AJ572" s="34"/>
      <c r="AK572" s="34"/>
      <c r="AL572" s="34"/>
      <c r="AM572" s="34"/>
      <c r="AN572" s="34"/>
      <c r="AO572" s="34"/>
      <c r="AP572" s="34"/>
      <c r="AQ572" s="34"/>
      <c r="AR572" s="34"/>
      <c r="AS572" s="34"/>
      <c r="AT572" s="34"/>
      <c r="AU572" s="34"/>
      <c r="AV572" s="34"/>
      <c r="AW572" s="34"/>
      <c r="AX572" s="34"/>
      <c r="AY572" s="34"/>
      <c r="AZ572" s="34"/>
    </row>
    <row r="573" spans="1:52" x14ac:dyDescent="0.2">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c r="AF573" s="34"/>
      <c r="AG573" s="34"/>
      <c r="AH573" s="34"/>
      <c r="AI573" s="34"/>
      <c r="AJ573" s="34"/>
      <c r="AK573" s="34"/>
      <c r="AL573" s="34"/>
      <c r="AM573" s="34"/>
      <c r="AN573" s="34"/>
      <c r="AO573" s="34"/>
      <c r="AP573" s="34"/>
      <c r="AQ573" s="34"/>
      <c r="AR573" s="34"/>
      <c r="AS573" s="34"/>
      <c r="AT573" s="34"/>
      <c r="AU573" s="34"/>
      <c r="AV573" s="34"/>
      <c r="AW573" s="34"/>
      <c r="AX573" s="34"/>
      <c r="AY573" s="34"/>
      <c r="AZ573" s="34"/>
    </row>
    <row r="574" spans="1:52" x14ac:dyDescent="0.2">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c r="AF574" s="34"/>
      <c r="AG574" s="34"/>
      <c r="AH574" s="34"/>
      <c r="AI574" s="34"/>
      <c r="AJ574" s="34"/>
      <c r="AK574" s="34"/>
      <c r="AL574" s="34"/>
      <c r="AM574" s="34"/>
      <c r="AN574" s="34"/>
      <c r="AO574" s="34"/>
      <c r="AP574" s="34"/>
      <c r="AQ574" s="34"/>
      <c r="AR574" s="34"/>
      <c r="AS574" s="34"/>
      <c r="AT574" s="34"/>
      <c r="AU574" s="34"/>
      <c r="AV574" s="34"/>
      <c r="AW574" s="34"/>
      <c r="AX574" s="34"/>
      <c r="AY574" s="34"/>
      <c r="AZ574" s="34"/>
    </row>
    <row r="575" spans="1:52" x14ac:dyDescent="0.2">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c r="AF575" s="34"/>
      <c r="AG575" s="34"/>
      <c r="AH575" s="34"/>
      <c r="AI575" s="34"/>
      <c r="AJ575" s="34"/>
      <c r="AK575" s="34"/>
      <c r="AL575" s="34"/>
      <c r="AM575" s="34"/>
      <c r="AN575" s="34"/>
      <c r="AO575" s="34"/>
      <c r="AP575" s="34"/>
      <c r="AQ575" s="34"/>
      <c r="AR575" s="34"/>
      <c r="AS575" s="34"/>
      <c r="AT575" s="34"/>
      <c r="AU575" s="34"/>
      <c r="AV575" s="34"/>
      <c r="AW575" s="34"/>
      <c r="AX575" s="34"/>
      <c r="AY575" s="34"/>
      <c r="AZ575" s="34"/>
    </row>
    <row r="576" spans="1:52" x14ac:dyDescent="0.2">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c r="AF576" s="34"/>
      <c r="AG576" s="34"/>
      <c r="AH576" s="34"/>
      <c r="AI576" s="34"/>
      <c r="AJ576" s="34"/>
      <c r="AK576" s="34"/>
      <c r="AL576" s="34"/>
      <c r="AM576" s="34"/>
      <c r="AN576" s="34"/>
      <c r="AO576" s="34"/>
      <c r="AP576" s="34"/>
      <c r="AQ576" s="34"/>
      <c r="AR576" s="34"/>
      <c r="AS576" s="34"/>
      <c r="AT576" s="34"/>
      <c r="AU576" s="34"/>
      <c r="AV576" s="34"/>
      <c r="AW576" s="34"/>
      <c r="AX576" s="34"/>
      <c r="AY576" s="34"/>
      <c r="AZ576" s="34"/>
    </row>
    <row r="577" spans="1:52" x14ac:dyDescent="0.2">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c r="AF577" s="34"/>
      <c r="AG577" s="34"/>
      <c r="AH577" s="34"/>
      <c r="AI577" s="34"/>
      <c r="AJ577" s="34"/>
      <c r="AK577" s="34"/>
      <c r="AL577" s="34"/>
      <c r="AM577" s="34"/>
      <c r="AN577" s="34"/>
      <c r="AO577" s="34"/>
      <c r="AP577" s="34"/>
      <c r="AQ577" s="34"/>
      <c r="AR577" s="34"/>
      <c r="AS577" s="34"/>
      <c r="AT577" s="34"/>
      <c r="AU577" s="34"/>
      <c r="AV577" s="34"/>
      <c r="AW577" s="34"/>
      <c r="AX577" s="34"/>
      <c r="AY577" s="34"/>
      <c r="AZ577" s="34"/>
    </row>
    <row r="578" spans="1:52" x14ac:dyDescent="0.2">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c r="AF578" s="34"/>
      <c r="AG578" s="34"/>
      <c r="AH578" s="34"/>
      <c r="AI578" s="34"/>
      <c r="AJ578" s="34"/>
      <c r="AK578" s="34"/>
      <c r="AL578" s="34"/>
      <c r="AM578" s="34"/>
      <c r="AN578" s="34"/>
      <c r="AO578" s="34"/>
      <c r="AP578" s="34"/>
      <c r="AQ578" s="34"/>
      <c r="AR578" s="34"/>
      <c r="AS578" s="34"/>
      <c r="AT578" s="34"/>
      <c r="AU578" s="34"/>
      <c r="AV578" s="34"/>
      <c r="AW578" s="34"/>
      <c r="AX578" s="34"/>
      <c r="AY578" s="34"/>
      <c r="AZ578" s="34"/>
    </row>
    <row r="579" spans="1:52" x14ac:dyDescent="0.2">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c r="AF579" s="34"/>
      <c r="AG579" s="34"/>
      <c r="AH579" s="34"/>
      <c r="AI579" s="34"/>
      <c r="AJ579" s="34"/>
      <c r="AK579" s="34"/>
      <c r="AL579" s="34"/>
      <c r="AM579" s="34"/>
      <c r="AN579" s="34"/>
      <c r="AO579" s="34"/>
      <c r="AP579" s="34"/>
      <c r="AQ579" s="34"/>
      <c r="AR579" s="34"/>
      <c r="AS579" s="34"/>
      <c r="AT579" s="34"/>
      <c r="AU579" s="34"/>
      <c r="AV579" s="34"/>
      <c r="AW579" s="34"/>
      <c r="AX579" s="34"/>
      <c r="AY579" s="34"/>
      <c r="AZ579" s="34"/>
    </row>
    <row r="580" spans="1:52" x14ac:dyDescent="0.2">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c r="AF580" s="34"/>
      <c r="AG580" s="34"/>
      <c r="AH580" s="34"/>
      <c r="AI580" s="34"/>
      <c r="AJ580" s="34"/>
      <c r="AK580" s="34"/>
      <c r="AL580" s="34"/>
      <c r="AM580" s="34"/>
      <c r="AN580" s="34"/>
      <c r="AO580" s="34"/>
      <c r="AP580" s="34"/>
      <c r="AQ580" s="34"/>
      <c r="AR580" s="34"/>
      <c r="AS580" s="34"/>
      <c r="AT580" s="34"/>
      <c r="AU580" s="34"/>
      <c r="AV580" s="34"/>
      <c r="AW580" s="34"/>
      <c r="AX580" s="34"/>
      <c r="AY580" s="34"/>
      <c r="AZ580" s="34"/>
    </row>
    <row r="581" spans="1:52" x14ac:dyDescent="0.2">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c r="AF581" s="34"/>
      <c r="AG581" s="34"/>
      <c r="AH581" s="34"/>
      <c r="AI581" s="34"/>
      <c r="AJ581" s="34"/>
      <c r="AK581" s="34"/>
      <c r="AL581" s="34"/>
      <c r="AM581" s="34"/>
      <c r="AN581" s="34"/>
      <c r="AO581" s="34"/>
      <c r="AP581" s="34"/>
      <c r="AQ581" s="34"/>
      <c r="AR581" s="34"/>
      <c r="AS581" s="34"/>
      <c r="AT581" s="34"/>
      <c r="AU581" s="34"/>
      <c r="AV581" s="34"/>
      <c r="AW581" s="34"/>
      <c r="AX581" s="34"/>
      <c r="AY581" s="34"/>
      <c r="AZ581" s="34"/>
    </row>
    <row r="582" spans="1:52" x14ac:dyDescent="0.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c r="AF582" s="34"/>
      <c r="AG582" s="34"/>
      <c r="AH582" s="34"/>
      <c r="AI582" s="34"/>
      <c r="AJ582" s="34"/>
      <c r="AK582" s="34"/>
      <c r="AL582" s="34"/>
      <c r="AM582" s="34"/>
      <c r="AN582" s="34"/>
      <c r="AO582" s="34"/>
      <c r="AP582" s="34"/>
      <c r="AQ582" s="34"/>
      <c r="AR582" s="34"/>
      <c r="AS582" s="34"/>
      <c r="AT582" s="34"/>
      <c r="AU582" s="34"/>
      <c r="AV582" s="34"/>
      <c r="AW582" s="34"/>
      <c r="AX582" s="34"/>
      <c r="AY582" s="34"/>
      <c r="AZ582" s="34"/>
    </row>
    <row r="583" spans="1:52" x14ac:dyDescent="0.2">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c r="AF583" s="34"/>
      <c r="AG583" s="34"/>
      <c r="AH583" s="34"/>
      <c r="AI583" s="34"/>
      <c r="AJ583" s="34"/>
      <c r="AK583" s="34"/>
      <c r="AL583" s="34"/>
      <c r="AM583" s="34"/>
      <c r="AN583" s="34"/>
      <c r="AO583" s="34"/>
      <c r="AP583" s="34"/>
      <c r="AQ583" s="34"/>
      <c r="AR583" s="34"/>
      <c r="AS583" s="34"/>
      <c r="AT583" s="34"/>
      <c r="AU583" s="34"/>
      <c r="AV583" s="34"/>
      <c r="AW583" s="34"/>
      <c r="AX583" s="34"/>
      <c r="AY583" s="34"/>
      <c r="AZ583" s="34"/>
    </row>
    <row r="584" spans="1:52" x14ac:dyDescent="0.2">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c r="AF584" s="34"/>
      <c r="AG584" s="34"/>
      <c r="AH584" s="34"/>
      <c r="AI584" s="34"/>
      <c r="AJ584" s="34"/>
      <c r="AK584" s="34"/>
      <c r="AL584" s="34"/>
      <c r="AM584" s="34"/>
      <c r="AN584" s="34"/>
      <c r="AO584" s="34"/>
      <c r="AP584" s="34"/>
      <c r="AQ584" s="34"/>
      <c r="AR584" s="34"/>
      <c r="AS584" s="34"/>
      <c r="AT584" s="34"/>
      <c r="AU584" s="34"/>
      <c r="AV584" s="34"/>
      <c r="AW584" s="34"/>
      <c r="AX584" s="34"/>
      <c r="AY584" s="34"/>
      <c r="AZ584" s="34"/>
    </row>
    <row r="585" spans="1:52" x14ac:dyDescent="0.2">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c r="AF585" s="34"/>
      <c r="AG585" s="34"/>
      <c r="AH585" s="34"/>
      <c r="AI585" s="34"/>
      <c r="AJ585" s="34"/>
      <c r="AK585" s="34"/>
      <c r="AL585" s="34"/>
      <c r="AM585" s="34"/>
      <c r="AN585" s="34"/>
      <c r="AO585" s="34"/>
      <c r="AP585" s="34"/>
      <c r="AQ585" s="34"/>
      <c r="AR585" s="34"/>
      <c r="AS585" s="34"/>
      <c r="AT585" s="34"/>
      <c r="AU585" s="34"/>
      <c r="AV585" s="34"/>
      <c r="AW585" s="34"/>
      <c r="AX585" s="34"/>
      <c r="AY585" s="34"/>
      <c r="AZ585" s="34"/>
    </row>
    <row r="586" spans="1:52" x14ac:dyDescent="0.2">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c r="AF586" s="34"/>
      <c r="AG586" s="34"/>
      <c r="AH586" s="34"/>
      <c r="AI586" s="34"/>
      <c r="AJ586" s="34"/>
      <c r="AK586" s="34"/>
      <c r="AL586" s="34"/>
      <c r="AM586" s="34"/>
      <c r="AN586" s="34"/>
      <c r="AO586" s="34"/>
      <c r="AP586" s="34"/>
      <c r="AQ586" s="34"/>
      <c r="AR586" s="34"/>
      <c r="AS586" s="34"/>
      <c r="AT586" s="34"/>
      <c r="AU586" s="34"/>
      <c r="AV586" s="34"/>
      <c r="AW586" s="34"/>
      <c r="AX586" s="34"/>
      <c r="AY586" s="34"/>
      <c r="AZ586" s="34"/>
    </row>
    <row r="587" spans="1:52" x14ac:dyDescent="0.2">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c r="AF587" s="34"/>
      <c r="AG587" s="34"/>
      <c r="AH587" s="34"/>
      <c r="AI587" s="34"/>
      <c r="AJ587" s="34"/>
      <c r="AK587" s="34"/>
      <c r="AL587" s="34"/>
      <c r="AM587" s="34"/>
      <c r="AN587" s="34"/>
      <c r="AO587" s="34"/>
      <c r="AP587" s="34"/>
      <c r="AQ587" s="34"/>
      <c r="AR587" s="34"/>
      <c r="AS587" s="34"/>
      <c r="AT587" s="34"/>
      <c r="AU587" s="34"/>
      <c r="AV587" s="34"/>
      <c r="AW587" s="34"/>
      <c r="AX587" s="34"/>
      <c r="AY587" s="34"/>
      <c r="AZ587" s="34"/>
    </row>
    <row r="588" spans="1:52" x14ac:dyDescent="0.2">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c r="AF588" s="34"/>
      <c r="AG588" s="34"/>
      <c r="AH588" s="34"/>
      <c r="AI588" s="34"/>
      <c r="AJ588" s="34"/>
      <c r="AK588" s="34"/>
      <c r="AL588" s="34"/>
      <c r="AM588" s="34"/>
      <c r="AN588" s="34"/>
      <c r="AO588" s="34"/>
      <c r="AP588" s="34"/>
      <c r="AQ588" s="34"/>
      <c r="AR588" s="34"/>
      <c r="AS588" s="34"/>
      <c r="AT588" s="34"/>
      <c r="AU588" s="34"/>
      <c r="AV588" s="34"/>
      <c r="AW588" s="34"/>
      <c r="AX588" s="34"/>
      <c r="AY588" s="34"/>
      <c r="AZ588" s="34"/>
    </row>
    <row r="589" spans="1:52" x14ac:dyDescent="0.2">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c r="AF589" s="34"/>
      <c r="AG589" s="34"/>
      <c r="AH589" s="34"/>
      <c r="AI589" s="34"/>
      <c r="AJ589" s="34"/>
      <c r="AK589" s="34"/>
      <c r="AL589" s="34"/>
      <c r="AM589" s="34"/>
      <c r="AN589" s="34"/>
      <c r="AO589" s="34"/>
      <c r="AP589" s="34"/>
      <c r="AQ589" s="34"/>
      <c r="AR589" s="34"/>
      <c r="AS589" s="34"/>
      <c r="AT589" s="34"/>
      <c r="AU589" s="34"/>
      <c r="AV589" s="34"/>
      <c r="AW589" s="34"/>
      <c r="AX589" s="34"/>
      <c r="AY589" s="34"/>
      <c r="AZ589" s="34"/>
    </row>
    <row r="590" spans="1:52" x14ac:dyDescent="0.2">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c r="AF590" s="34"/>
      <c r="AG590" s="34"/>
      <c r="AH590" s="34"/>
      <c r="AI590" s="34"/>
      <c r="AJ590" s="34"/>
      <c r="AK590" s="34"/>
      <c r="AL590" s="34"/>
      <c r="AM590" s="34"/>
      <c r="AN590" s="34"/>
      <c r="AO590" s="34"/>
      <c r="AP590" s="34"/>
      <c r="AQ590" s="34"/>
      <c r="AR590" s="34"/>
      <c r="AS590" s="34"/>
      <c r="AT590" s="34"/>
      <c r="AU590" s="34"/>
      <c r="AV590" s="34"/>
      <c r="AW590" s="34"/>
      <c r="AX590" s="34"/>
      <c r="AY590" s="34"/>
      <c r="AZ590" s="34"/>
    </row>
    <row r="591" spans="1:52" x14ac:dyDescent="0.2">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c r="AF591" s="34"/>
      <c r="AG591" s="34"/>
      <c r="AH591" s="34"/>
      <c r="AI591" s="34"/>
      <c r="AJ591" s="34"/>
      <c r="AK591" s="34"/>
      <c r="AL591" s="34"/>
      <c r="AM591" s="34"/>
      <c r="AN591" s="34"/>
      <c r="AO591" s="34"/>
      <c r="AP591" s="34"/>
      <c r="AQ591" s="34"/>
      <c r="AR591" s="34"/>
      <c r="AS591" s="34"/>
      <c r="AT591" s="34"/>
      <c r="AU591" s="34"/>
      <c r="AV591" s="34"/>
      <c r="AW591" s="34"/>
      <c r="AX591" s="34"/>
      <c r="AY591" s="34"/>
      <c r="AZ591" s="34"/>
    </row>
    <row r="592" spans="1:52" x14ac:dyDescent="0.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c r="AF592" s="34"/>
      <c r="AG592" s="34"/>
      <c r="AH592" s="34"/>
      <c r="AI592" s="34"/>
      <c r="AJ592" s="34"/>
      <c r="AK592" s="34"/>
      <c r="AL592" s="34"/>
      <c r="AM592" s="34"/>
      <c r="AN592" s="34"/>
      <c r="AO592" s="34"/>
      <c r="AP592" s="34"/>
      <c r="AQ592" s="34"/>
      <c r="AR592" s="34"/>
      <c r="AS592" s="34"/>
      <c r="AT592" s="34"/>
      <c r="AU592" s="34"/>
      <c r="AV592" s="34"/>
      <c r="AW592" s="34"/>
      <c r="AX592" s="34"/>
      <c r="AY592" s="34"/>
      <c r="AZ592" s="34"/>
    </row>
    <row r="593" spans="1:52" x14ac:dyDescent="0.2">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c r="AF593" s="34"/>
      <c r="AG593" s="34"/>
      <c r="AH593" s="34"/>
      <c r="AI593" s="34"/>
      <c r="AJ593" s="34"/>
      <c r="AK593" s="34"/>
      <c r="AL593" s="34"/>
      <c r="AM593" s="34"/>
      <c r="AN593" s="34"/>
      <c r="AO593" s="34"/>
      <c r="AP593" s="34"/>
      <c r="AQ593" s="34"/>
      <c r="AR593" s="34"/>
      <c r="AS593" s="34"/>
      <c r="AT593" s="34"/>
      <c r="AU593" s="34"/>
      <c r="AV593" s="34"/>
      <c r="AW593" s="34"/>
      <c r="AX593" s="34"/>
      <c r="AY593" s="34"/>
      <c r="AZ593" s="34"/>
    </row>
    <row r="594" spans="1:52" x14ac:dyDescent="0.2">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c r="AF594" s="34"/>
      <c r="AG594" s="34"/>
      <c r="AH594" s="34"/>
      <c r="AI594" s="34"/>
      <c r="AJ594" s="34"/>
      <c r="AK594" s="34"/>
      <c r="AL594" s="34"/>
      <c r="AM594" s="34"/>
      <c r="AN594" s="34"/>
      <c r="AO594" s="34"/>
      <c r="AP594" s="34"/>
      <c r="AQ594" s="34"/>
      <c r="AR594" s="34"/>
      <c r="AS594" s="34"/>
      <c r="AT594" s="34"/>
      <c r="AU594" s="34"/>
      <c r="AV594" s="34"/>
      <c r="AW594" s="34"/>
      <c r="AX594" s="34"/>
      <c r="AY594" s="34"/>
      <c r="AZ594" s="34"/>
    </row>
    <row r="595" spans="1:52" x14ac:dyDescent="0.2">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c r="AF595" s="34"/>
      <c r="AG595" s="34"/>
      <c r="AH595" s="34"/>
      <c r="AI595" s="34"/>
      <c r="AJ595" s="34"/>
      <c r="AK595" s="34"/>
      <c r="AL595" s="34"/>
      <c r="AM595" s="34"/>
      <c r="AN595" s="34"/>
      <c r="AO595" s="34"/>
      <c r="AP595" s="34"/>
      <c r="AQ595" s="34"/>
      <c r="AR595" s="34"/>
      <c r="AS595" s="34"/>
      <c r="AT595" s="34"/>
      <c r="AU595" s="34"/>
      <c r="AV595" s="34"/>
      <c r="AW595" s="34"/>
      <c r="AX595" s="34"/>
      <c r="AY595" s="34"/>
      <c r="AZ595" s="34"/>
    </row>
    <row r="596" spans="1:52" x14ac:dyDescent="0.2">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c r="AF596" s="34"/>
      <c r="AG596" s="34"/>
      <c r="AH596" s="34"/>
      <c r="AI596" s="34"/>
      <c r="AJ596" s="34"/>
      <c r="AK596" s="34"/>
      <c r="AL596" s="34"/>
      <c r="AM596" s="34"/>
      <c r="AN596" s="34"/>
      <c r="AO596" s="34"/>
      <c r="AP596" s="34"/>
      <c r="AQ596" s="34"/>
      <c r="AR596" s="34"/>
      <c r="AS596" s="34"/>
      <c r="AT596" s="34"/>
      <c r="AU596" s="34"/>
      <c r="AV596" s="34"/>
      <c r="AW596" s="34"/>
      <c r="AX596" s="34"/>
      <c r="AY596" s="34"/>
      <c r="AZ596" s="34"/>
    </row>
    <row r="597" spans="1:52" x14ac:dyDescent="0.2">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c r="AF597" s="34"/>
      <c r="AG597" s="34"/>
      <c r="AH597" s="34"/>
      <c r="AI597" s="34"/>
      <c r="AJ597" s="34"/>
      <c r="AK597" s="34"/>
      <c r="AL597" s="34"/>
      <c r="AM597" s="34"/>
      <c r="AN597" s="34"/>
      <c r="AO597" s="34"/>
      <c r="AP597" s="34"/>
      <c r="AQ597" s="34"/>
      <c r="AR597" s="34"/>
      <c r="AS597" s="34"/>
      <c r="AT597" s="34"/>
      <c r="AU597" s="34"/>
      <c r="AV597" s="34"/>
      <c r="AW597" s="34"/>
      <c r="AX597" s="34"/>
      <c r="AY597" s="34"/>
      <c r="AZ597" s="34"/>
    </row>
    <row r="598" spans="1:52" x14ac:dyDescent="0.2">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c r="AF598" s="34"/>
      <c r="AG598" s="34"/>
      <c r="AH598" s="34"/>
      <c r="AI598" s="34"/>
      <c r="AJ598" s="34"/>
      <c r="AK598" s="34"/>
      <c r="AL598" s="34"/>
      <c r="AM598" s="34"/>
      <c r="AN598" s="34"/>
      <c r="AO598" s="34"/>
      <c r="AP598" s="34"/>
      <c r="AQ598" s="34"/>
      <c r="AR598" s="34"/>
      <c r="AS598" s="34"/>
      <c r="AT598" s="34"/>
      <c r="AU598" s="34"/>
      <c r="AV598" s="34"/>
      <c r="AW598" s="34"/>
      <c r="AX598" s="34"/>
      <c r="AY598" s="34"/>
      <c r="AZ598" s="34"/>
    </row>
    <row r="599" spans="1:52" x14ac:dyDescent="0.2">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c r="AF599" s="34"/>
      <c r="AG599" s="34"/>
      <c r="AH599" s="34"/>
      <c r="AI599" s="34"/>
      <c r="AJ599" s="34"/>
      <c r="AK599" s="34"/>
      <c r="AL599" s="34"/>
      <c r="AM599" s="34"/>
      <c r="AN599" s="34"/>
      <c r="AO599" s="34"/>
      <c r="AP599" s="34"/>
      <c r="AQ599" s="34"/>
      <c r="AR599" s="34"/>
      <c r="AS599" s="34"/>
      <c r="AT599" s="34"/>
      <c r="AU599" s="34"/>
      <c r="AV599" s="34"/>
      <c r="AW599" s="34"/>
      <c r="AX599" s="34"/>
      <c r="AY599" s="34"/>
      <c r="AZ599" s="34"/>
    </row>
    <row r="600" spans="1:52" x14ac:dyDescent="0.2">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c r="AF600" s="34"/>
      <c r="AG600" s="34"/>
      <c r="AH600" s="34"/>
      <c r="AI600" s="34"/>
      <c r="AJ600" s="34"/>
      <c r="AK600" s="34"/>
      <c r="AL600" s="34"/>
      <c r="AM600" s="34"/>
      <c r="AN600" s="34"/>
      <c r="AO600" s="34"/>
      <c r="AP600" s="34"/>
      <c r="AQ600" s="34"/>
      <c r="AR600" s="34"/>
      <c r="AS600" s="34"/>
      <c r="AT600" s="34"/>
      <c r="AU600" s="34"/>
      <c r="AV600" s="34"/>
      <c r="AW600" s="34"/>
      <c r="AX600" s="34"/>
      <c r="AY600" s="34"/>
      <c r="AZ600" s="34"/>
    </row>
    <row r="601" spans="1:52" x14ac:dyDescent="0.2">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c r="AF601" s="34"/>
      <c r="AG601" s="34"/>
      <c r="AH601" s="34"/>
      <c r="AI601" s="34"/>
      <c r="AJ601" s="34"/>
      <c r="AK601" s="34"/>
      <c r="AL601" s="34"/>
      <c r="AM601" s="34"/>
      <c r="AN601" s="34"/>
      <c r="AO601" s="34"/>
      <c r="AP601" s="34"/>
      <c r="AQ601" s="34"/>
      <c r="AR601" s="34"/>
      <c r="AS601" s="34"/>
      <c r="AT601" s="34"/>
      <c r="AU601" s="34"/>
      <c r="AV601" s="34"/>
      <c r="AW601" s="34"/>
      <c r="AX601" s="34"/>
      <c r="AY601" s="34"/>
      <c r="AZ601" s="34"/>
    </row>
    <row r="602" spans="1:52" x14ac:dyDescent="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c r="AF602" s="34"/>
      <c r="AG602" s="34"/>
      <c r="AH602" s="34"/>
      <c r="AI602" s="34"/>
      <c r="AJ602" s="34"/>
      <c r="AK602" s="34"/>
      <c r="AL602" s="34"/>
      <c r="AM602" s="34"/>
      <c r="AN602" s="34"/>
      <c r="AO602" s="34"/>
      <c r="AP602" s="34"/>
      <c r="AQ602" s="34"/>
      <c r="AR602" s="34"/>
      <c r="AS602" s="34"/>
      <c r="AT602" s="34"/>
      <c r="AU602" s="34"/>
      <c r="AV602" s="34"/>
      <c r="AW602" s="34"/>
      <c r="AX602" s="34"/>
      <c r="AY602" s="34"/>
      <c r="AZ602" s="34"/>
    </row>
    <row r="603" spans="1:52" x14ac:dyDescent="0.2">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c r="AF603" s="34"/>
      <c r="AG603" s="34"/>
      <c r="AH603" s="34"/>
      <c r="AI603" s="34"/>
      <c r="AJ603" s="34"/>
      <c r="AK603" s="34"/>
      <c r="AL603" s="34"/>
      <c r="AM603" s="34"/>
      <c r="AN603" s="34"/>
      <c r="AO603" s="34"/>
      <c r="AP603" s="34"/>
      <c r="AQ603" s="34"/>
      <c r="AR603" s="34"/>
      <c r="AS603" s="34"/>
      <c r="AT603" s="34"/>
      <c r="AU603" s="34"/>
      <c r="AV603" s="34"/>
      <c r="AW603" s="34"/>
      <c r="AX603" s="34"/>
      <c r="AY603" s="34"/>
      <c r="AZ603" s="34"/>
    </row>
    <row r="604" spans="1:52" x14ac:dyDescent="0.2">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c r="AF604" s="34"/>
      <c r="AG604" s="34"/>
      <c r="AH604" s="34"/>
      <c r="AI604" s="34"/>
      <c r="AJ604" s="34"/>
      <c r="AK604" s="34"/>
      <c r="AL604" s="34"/>
      <c r="AM604" s="34"/>
      <c r="AN604" s="34"/>
      <c r="AO604" s="34"/>
      <c r="AP604" s="34"/>
      <c r="AQ604" s="34"/>
      <c r="AR604" s="34"/>
      <c r="AS604" s="34"/>
      <c r="AT604" s="34"/>
      <c r="AU604" s="34"/>
      <c r="AV604" s="34"/>
      <c r="AW604" s="34"/>
      <c r="AX604" s="34"/>
      <c r="AY604" s="34"/>
      <c r="AZ604" s="34"/>
    </row>
    <row r="605" spans="1:52" x14ac:dyDescent="0.2">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c r="AF605" s="34"/>
      <c r="AG605" s="34"/>
      <c r="AH605" s="34"/>
      <c r="AI605" s="34"/>
      <c r="AJ605" s="34"/>
      <c r="AK605" s="34"/>
      <c r="AL605" s="34"/>
      <c r="AM605" s="34"/>
      <c r="AN605" s="34"/>
      <c r="AO605" s="34"/>
      <c r="AP605" s="34"/>
      <c r="AQ605" s="34"/>
      <c r="AR605" s="34"/>
      <c r="AS605" s="34"/>
      <c r="AT605" s="34"/>
      <c r="AU605" s="34"/>
      <c r="AV605" s="34"/>
      <c r="AW605" s="34"/>
      <c r="AX605" s="34"/>
      <c r="AY605" s="34"/>
      <c r="AZ605" s="34"/>
    </row>
    <row r="606" spans="1:52" x14ac:dyDescent="0.2">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c r="AF606" s="34"/>
      <c r="AG606" s="34"/>
      <c r="AH606" s="34"/>
      <c r="AI606" s="34"/>
      <c r="AJ606" s="34"/>
      <c r="AK606" s="34"/>
      <c r="AL606" s="34"/>
      <c r="AM606" s="34"/>
      <c r="AN606" s="34"/>
      <c r="AO606" s="34"/>
      <c r="AP606" s="34"/>
      <c r="AQ606" s="34"/>
      <c r="AR606" s="34"/>
      <c r="AS606" s="34"/>
      <c r="AT606" s="34"/>
      <c r="AU606" s="34"/>
      <c r="AV606" s="34"/>
      <c r="AW606" s="34"/>
      <c r="AX606" s="34"/>
      <c r="AY606" s="34"/>
      <c r="AZ606" s="34"/>
    </row>
    <row r="607" spans="1:52" x14ac:dyDescent="0.2">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c r="AF607" s="34"/>
      <c r="AG607" s="34"/>
      <c r="AH607" s="34"/>
      <c r="AI607" s="34"/>
      <c r="AJ607" s="34"/>
      <c r="AK607" s="34"/>
      <c r="AL607" s="34"/>
      <c r="AM607" s="34"/>
      <c r="AN607" s="34"/>
      <c r="AO607" s="34"/>
      <c r="AP607" s="34"/>
      <c r="AQ607" s="34"/>
      <c r="AR607" s="34"/>
      <c r="AS607" s="34"/>
      <c r="AT607" s="34"/>
      <c r="AU607" s="34"/>
      <c r="AV607" s="34"/>
      <c r="AW607" s="34"/>
      <c r="AX607" s="34"/>
      <c r="AY607" s="34"/>
      <c r="AZ607" s="34"/>
    </row>
    <row r="608" spans="1:52" x14ac:dyDescent="0.2">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c r="AF608" s="34"/>
      <c r="AG608" s="34"/>
      <c r="AH608" s="34"/>
      <c r="AI608" s="34"/>
      <c r="AJ608" s="34"/>
      <c r="AK608" s="34"/>
      <c r="AL608" s="34"/>
      <c r="AM608" s="34"/>
      <c r="AN608" s="34"/>
      <c r="AO608" s="34"/>
      <c r="AP608" s="34"/>
      <c r="AQ608" s="34"/>
      <c r="AR608" s="34"/>
      <c r="AS608" s="34"/>
      <c r="AT608" s="34"/>
      <c r="AU608" s="34"/>
      <c r="AV608" s="34"/>
      <c r="AW608" s="34"/>
      <c r="AX608" s="34"/>
      <c r="AY608" s="34"/>
      <c r="AZ608" s="34"/>
    </row>
    <row r="609" spans="1:52" x14ac:dyDescent="0.2">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c r="AF609" s="34"/>
      <c r="AG609" s="34"/>
      <c r="AH609" s="34"/>
      <c r="AI609" s="34"/>
      <c r="AJ609" s="34"/>
      <c r="AK609" s="34"/>
      <c r="AL609" s="34"/>
      <c r="AM609" s="34"/>
      <c r="AN609" s="34"/>
      <c r="AO609" s="34"/>
      <c r="AP609" s="34"/>
      <c r="AQ609" s="34"/>
      <c r="AR609" s="34"/>
      <c r="AS609" s="34"/>
      <c r="AT609" s="34"/>
      <c r="AU609" s="34"/>
      <c r="AV609" s="34"/>
      <c r="AW609" s="34"/>
      <c r="AX609" s="34"/>
      <c r="AY609" s="34"/>
      <c r="AZ609" s="34"/>
    </row>
    <row r="610" spans="1:52" x14ac:dyDescent="0.2">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c r="AF610" s="34"/>
      <c r="AG610" s="34"/>
      <c r="AH610" s="34"/>
      <c r="AI610" s="34"/>
      <c r="AJ610" s="34"/>
      <c r="AK610" s="34"/>
      <c r="AL610" s="34"/>
      <c r="AM610" s="34"/>
      <c r="AN610" s="34"/>
      <c r="AO610" s="34"/>
      <c r="AP610" s="34"/>
      <c r="AQ610" s="34"/>
      <c r="AR610" s="34"/>
      <c r="AS610" s="34"/>
      <c r="AT610" s="34"/>
      <c r="AU610" s="34"/>
      <c r="AV610" s="34"/>
      <c r="AW610" s="34"/>
      <c r="AX610" s="34"/>
      <c r="AY610" s="34"/>
      <c r="AZ610" s="34"/>
    </row>
    <row r="611" spans="1:52" x14ac:dyDescent="0.2">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c r="AF611" s="34"/>
      <c r="AG611" s="34"/>
      <c r="AH611" s="34"/>
      <c r="AI611" s="34"/>
      <c r="AJ611" s="34"/>
      <c r="AK611" s="34"/>
      <c r="AL611" s="34"/>
      <c r="AM611" s="34"/>
      <c r="AN611" s="34"/>
      <c r="AO611" s="34"/>
      <c r="AP611" s="34"/>
      <c r="AQ611" s="34"/>
      <c r="AR611" s="34"/>
      <c r="AS611" s="34"/>
      <c r="AT611" s="34"/>
      <c r="AU611" s="34"/>
      <c r="AV611" s="34"/>
      <c r="AW611" s="34"/>
      <c r="AX611" s="34"/>
      <c r="AY611" s="34"/>
      <c r="AZ611" s="34"/>
    </row>
    <row r="612" spans="1:52" x14ac:dyDescent="0.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c r="AF612" s="34"/>
      <c r="AG612" s="34"/>
      <c r="AH612" s="34"/>
      <c r="AI612" s="34"/>
      <c r="AJ612" s="34"/>
      <c r="AK612" s="34"/>
      <c r="AL612" s="34"/>
      <c r="AM612" s="34"/>
      <c r="AN612" s="34"/>
      <c r="AO612" s="34"/>
      <c r="AP612" s="34"/>
      <c r="AQ612" s="34"/>
      <c r="AR612" s="34"/>
      <c r="AS612" s="34"/>
      <c r="AT612" s="34"/>
      <c r="AU612" s="34"/>
      <c r="AV612" s="34"/>
      <c r="AW612" s="34"/>
      <c r="AX612" s="34"/>
      <c r="AY612" s="34"/>
      <c r="AZ612" s="34"/>
    </row>
    <row r="613" spans="1:52" x14ac:dyDescent="0.2">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c r="AF613" s="34"/>
      <c r="AG613" s="34"/>
      <c r="AH613" s="34"/>
      <c r="AI613" s="34"/>
      <c r="AJ613" s="34"/>
      <c r="AK613" s="34"/>
      <c r="AL613" s="34"/>
      <c r="AM613" s="34"/>
      <c r="AN613" s="34"/>
      <c r="AO613" s="34"/>
      <c r="AP613" s="34"/>
      <c r="AQ613" s="34"/>
      <c r="AR613" s="34"/>
      <c r="AS613" s="34"/>
      <c r="AT613" s="34"/>
      <c r="AU613" s="34"/>
      <c r="AV613" s="34"/>
      <c r="AW613" s="34"/>
      <c r="AX613" s="34"/>
      <c r="AY613" s="34"/>
      <c r="AZ613" s="34"/>
    </row>
    <row r="614" spans="1:52" x14ac:dyDescent="0.2">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c r="AF614" s="34"/>
      <c r="AG614" s="34"/>
      <c r="AH614" s="34"/>
      <c r="AI614" s="34"/>
      <c r="AJ614" s="34"/>
      <c r="AK614" s="34"/>
      <c r="AL614" s="34"/>
      <c r="AM614" s="34"/>
      <c r="AN614" s="34"/>
      <c r="AO614" s="34"/>
      <c r="AP614" s="34"/>
      <c r="AQ614" s="34"/>
      <c r="AR614" s="34"/>
      <c r="AS614" s="34"/>
      <c r="AT614" s="34"/>
      <c r="AU614" s="34"/>
      <c r="AV614" s="34"/>
      <c r="AW614" s="34"/>
      <c r="AX614" s="34"/>
      <c r="AY614" s="34"/>
      <c r="AZ614" s="34"/>
    </row>
    <row r="615" spans="1:52" x14ac:dyDescent="0.2">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c r="AF615" s="34"/>
      <c r="AG615" s="34"/>
      <c r="AH615" s="34"/>
      <c r="AI615" s="34"/>
      <c r="AJ615" s="34"/>
      <c r="AK615" s="34"/>
      <c r="AL615" s="34"/>
      <c r="AM615" s="34"/>
      <c r="AN615" s="34"/>
      <c r="AO615" s="34"/>
      <c r="AP615" s="34"/>
      <c r="AQ615" s="34"/>
      <c r="AR615" s="34"/>
      <c r="AS615" s="34"/>
      <c r="AT615" s="34"/>
      <c r="AU615" s="34"/>
      <c r="AV615" s="34"/>
      <c r="AW615" s="34"/>
      <c r="AX615" s="34"/>
      <c r="AY615" s="34"/>
      <c r="AZ615" s="34"/>
    </row>
    <row r="616" spans="1:52" x14ac:dyDescent="0.2">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c r="AF616" s="34"/>
      <c r="AG616" s="34"/>
      <c r="AH616" s="34"/>
      <c r="AI616" s="34"/>
      <c r="AJ616" s="34"/>
      <c r="AK616" s="34"/>
      <c r="AL616" s="34"/>
      <c r="AM616" s="34"/>
      <c r="AN616" s="34"/>
      <c r="AO616" s="34"/>
      <c r="AP616" s="34"/>
      <c r="AQ616" s="34"/>
      <c r="AR616" s="34"/>
      <c r="AS616" s="34"/>
      <c r="AT616" s="34"/>
      <c r="AU616" s="34"/>
      <c r="AV616" s="34"/>
      <c r="AW616" s="34"/>
      <c r="AX616" s="34"/>
      <c r="AY616" s="34"/>
      <c r="AZ616" s="34"/>
    </row>
    <row r="617" spans="1:52" x14ac:dyDescent="0.2">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c r="AF617" s="34"/>
      <c r="AG617" s="34"/>
      <c r="AH617" s="34"/>
      <c r="AI617" s="34"/>
      <c r="AJ617" s="34"/>
      <c r="AK617" s="34"/>
      <c r="AL617" s="34"/>
      <c r="AM617" s="34"/>
      <c r="AN617" s="34"/>
      <c r="AO617" s="34"/>
      <c r="AP617" s="34"/>
      <c r="AQ617" s="34"/>
      <c r="AR617" s="34"/>
      <c r="AS617" s="34"/>
      <c r="AT617" s="34"/>
      <c r="AU617" s="34"/>
      <c r="AV617" s="34"/>
      <c r="AW617" s="34"/>
      <c r="AX617" s="34"/>
      <c r="AY617" s="34"/>
      <c r="AZ617" s="34"/>
    </row>
    <row r="618" spans="1:52" x14ac:dyDescent="0.2">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c r="AF618" s="34"/>
      <c r="AG618" s="34"/>
      <c r="AH618" s="34"/>
      <c r="AI618" s="34"/>
      <c r="AJ618" s="34"/>
      <c r="AK618" s="34"/>
      <c r="AL618" s="34"/>
      <c r="AM618" s="34"/>
      <c r="AN618" s="34"/>
      <c r="AO618" s="34"/>
      <c r="AP618" s="34"/>
      <c r="AQ618" s="34"/>
      <c r="AR618" s="34"/>
      <c r="AS618" s="34"/>
      <c r="AT618" s="34"/>
      <c r="AU618" s="34"/>
      <c r="AV618" s="34"/>
      <c r="AW618" s="34"/>
      <c r="AX618" s="34"/>
      <c r="AY618" s="34"/>
      <c r="AZ618" s="34"/>
    </row>
    <row r="619" spans="1:52" x14ac:dyDescent="0.2">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c r="AF619" s="34"/>
      <c r="AG619" s="34"/>
      <c r="AH619" s="34"/>
      <c r="AI619" s="34"/>
      <c r="AJ619" s="34"/>
      <c r="AK619" s="34"/>
      <c r="AL619" s="34"/>
      <c r="AM619" s="34"/>
      <c r="AN619" s="34"/>
      <c r="AO619" s="34"/>
      <c r="AP619" s="34"/>
      <c r="AQ619" s="34"/>
      <c r="AR619" s="34"/>
      <c r="AS619" s="34"/>
      <c r="AT619" s="34"/>
      <c r="AU619" s="34"/>
      <c r="AV619" s="34"/>
      <c r="AW619" s="34"/>
      <c r="AX619" s="34"/>
      <c r="AY619" s="34"/>
      <c r="AZ619" s="34"/>
    </row>
    <row r="620" spans="1:52" x14ac:dyDescent="0.2">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c r="AF620" s="34"/>
      <c r="AG620" s="34"/>
      <c r="AH620" s="34"/>
      <c r="AI620" s="34"/>
      <c r="AJ620" s="34"/>
      <c r="AK620" s="34"/>
      <c r="AL620" s="34"/>
      <c r="AM620" s="34"/>
      <c r="AN620" s="34"/>
      <c r="AO620" s="34"/>
      <c r="AP620" s="34"/>
      <c r="AQ620" s="34"/>
      <c r="AR620" s="34"/>
      <c r="AS620" s="34"/>
      <c r="AT620" s="34"/>
      <c r="AU620" s="34"/>
      <c r="AV620" s="34"/>
      <c r="AW620" s="34"/>
      <c r="AX620" s="34"/>
      <c r="AY620" s="34"/>
      <c r="AZ620" s="34"/>
    </row>
    <row r="621" spans="1:52" x14ac:dyDescent="0.2">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c r="AF621" s="34"/>
      <c r="AG621" s="34"/>
      <c r="AH621" s="34"/>
      <c r="AI621" s="34"/>
      <c r="AJ621" s="34"/>
      <c r="AK621" s="34"/>
      <c r="AL621" s="34"/>
      <c r="AM621" s="34"/>
      <c r="AN621" s="34"/>
      <c r="AO621" s="34"/>
      <c r="AP621" s="34"/>
      <c r="AQ621" s="34"/>
      <c r="AR621" s="34"/>
      <c r="AS621" s="34"/>
      <c r="AT621" s="34"/>
      <c r="AU621" s="34"/>
      <c r="AV621" s="34"/>
      <c r="AW621" s="34"/>
      <c r="AX621" s="34"/>
      <c r="AY621" s="34"/>
      <c r="AZ621" s="34"/>
    </row>
    <row r="622" spans="1:52" x14ac:dyDescent="0.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c r="AF622" s="34"/>
      <c r="AG622" s="34"/>
      <c r="AH622" s="34"/>
      <c r="AI622" s="34"/>
      <c r="AJ622" s="34"/>
      <c r="AK622" s="34"/>
      <c r="AL622" s="34"/>
      <c r="AM622" s="34"/>
      <c r="AN622" s="34"/>
      <c r="AO622" s="34"/>
      <c r="AP622" s="34"/>
      <c r="AQ622" s="34"/>
      <c r="AR622" s="34"/>
      <c r="AS622" s="34"/>
      <c r="AT622" s="34"/>
      <c r="AU622" s="34"/>
      <c r="AV622" s="34"/>
      <c r="AW622" s="34"/>
      <c r="AX622" s="34"/>
      <c r="AY622" s="34"/>
      <c r="AZ622" s="34"/>
    </row>
    <row r="623" spans="1:52" x14ac:dyDescent="0.2">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c r="AF623" s="34"/>
      <c r="AG623" s="34"/>
      <c r="AH623" s="34"/>
      <c r="AI623" s="34"/>
      <c r="AJ623" s="34"/>
      <c r="AK623" s="34"/>
      <c r="AL623" s="34"/>
      <c r="AM623" s="34"/>
      <c r="AN623" s="34"/>
      <c r="AO623" s="34"/>
      <c r="AP623" s="34"/>
      <c r="AQ623" s="34"/>
      <c r="AR623" s="34"/>
      <c r="AS623" s="34"/>
      <c r="AT623" s="34"/>
      <c r="AU623" s="34"/>
      <c r="AV623" s="34"/>
      <c r="AW623" s="34"/>
      <c r="AX623" s="34"/>
      <c r="AY623" s="34"/>
      <c r="AZ623" s="34"/>
    </row>
    <row r="624" spans="1:52" x14ac:dyDescent="0.2">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c r="AF624" s="34"/>
      <c r="AG624" s="34"/>
      <c r="AH624" s="34"/>
      <c r="AI624" s="34"/>
      <c r="AJ624" s="34"/>
      <c r="AK624" s="34"/>
      <c r="AL624" s="34"/>
      <c r="AM624" s="34"/>
      <c r="AN624" s="34"/>
      <c r="AO624" s="34"/>
      <c r="AP624" s="34"/>
      <c r="AQ624" s="34"/>
      <c r="AR624" s="34"/>
      <c r="AS624" s="34"/>
      <c r="AT624" s="34"/>
      <c r="AU624" s="34"/>
      <c r="AV624" s="34"/>
      <c r="AW624" s="34"/>
      <c r="AX624" s="34"/>
      <c r="AY624" s="34"/>
      <c r="AZ624" s="34"/>
    </row>
    <row r="625" spans="1:52" x14ac:dyDescent="0.2">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c r="AF625" s="34"/>
      <c r="AG625" s="34"/>
      <c r="AH625" s="34"/>
      <c r="AI625" s="34"/>
      <c r="AJ625" s="34"/>
      <c r="AK625" s="34"/>
      <c r="AL625" s="34"/>
      <c r="AM625" s="34"/>
      <c r="AN625" s="34"/>
      <c r="AO625" s="34"/>
      <c r="AP625" s="34"/>
      <c r="AQ625" s="34"/>
      <c r="AR625" s="34"/>
      <c r="AS625" s="34"/>
      <c r="AT625" s="34"/>
      <c r="AU625" s="34"/>
      <c r="AV625" s="34"/>
      <c r="AW625" s="34"/>
      <c r="AX625" s="34"/>
      <c r="AY625" s="34"/>
      <c r="AZ625" s="34"/>
    </row>
    <row r="626" spans="1:52" x14ac:dyDescent="0.2">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c r="AF626" s="34"/>
      <c r="AG626" s="34"/>
      <c r="AH626" s="34"/>
      <c r="AI626" s="34"/>
      <c r="AJ626" s="34"/>
      <c r="AK626" s="34"/>
      <c r="AL626" s="34"/>
      <c r="AM626" s="34"/>
      <c r="AN626" s="34"/>
      <c r="AO626" s="34"/>
      <c r="AP626" s="34"/>
      <c r="AQ626" s="34"/>
      <c r="AR626" s="34"/>
      <c r="AS626" s="34"/>
      <c r="AT626" s="34"/>
      <c r="AU626" s="34"/>
      <c r="AV626" s="34"/>
      <c r="AW626" s="34"/>
      <c r="AX626" s="34"/>
      <c r="AY626" s="34"/>
      <c r="AZ626" s="34"/>
    </row>
    <row r="627" spans="1:52" x14ac:dyDescent="0.2">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c r="AF627" s="34"/>
      <c r="AG627" s="34"/>
      <c r="AH627" s="34"/>
      <c r="AI627" s="34"/>
      <c r="AJ627" s="34"/>
      <c r="AK627" s="34"/>
      <c r="AL627" s="34"/>
      <c r="AM627" s="34"/>
      <c r="AN627" s="34"/>
      <c r="AO627" s="34"/>
      <c r="AP627" s="34"/>
      <c r="AQ627" s="34"/>
      <c r="AR627" s="34"/>
      <c r="AS627" s="34"/>
      <c r="AT627" s="34"/>
      <c r="AU627" s="34"/>
      <c r="AV627" s="34"/>
      <c r="AW627" s="34"/>
      <c r="AX627" s="34"/>
      <c r="AY627" s="34"/>
      <c r="AZ627" s="34"/>
    </row>
    <row r="628" spans="1:52" x14ac:dyDescent="0.2">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c r="AF628" s="34"/>
      <c r="AG628" s="34"/>
      <c r="AH628" s="34"/>
      <c r="AI628" s="34"/>
      <c r="AJ628" s="34"/>
      <c r="AK628" s="34"/>
      <c r="AL628" s="34"/>
      <c r="AM628" s="34"/>
      <c r="AN628" s="34"/>
      <c r="AO628" s="34"/>
      <c r="AP628" s="34"/>
      <c r="AQ628" s="34"/>
      <c r="AR628" s="34"/>
      <c r="AS628" s="34"/>
      <c r="AT628" s="34"/>
      <c r="AU628" s="34"/>
      <c r="AV628" s="34"/>
      <c r="AW628" s="34"/>
      <c r="AX628" s="34"/>
      <c r="AY628" s="34"/>
      <c r="AZ628" s="34"/>
    </row>
    <row r="629" spans="1:52" x14ac:dyDescent="0.2">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c r="AF629" s="34"/>
      <c r="AG629" s="34"/>
      <c r="AH629" s="34"/>
      <c r="AI629" s="34"/>
      <c r="AJ629" s="34"/>
      <c r="AK629" s="34"/>
      <c r="AL629" s="34"/>
      <c r="AM629" s="34"/>
      <c r="AN629" s="34"/>
      <c r="AO629" s="34"/>
      <c r="AP629" s="34"/>
      <c r="AQ629" s="34"/>
      <c r="AR629" s="34"/>
      <c r="AS629" s="34"/>
      <c r="AT629" s="34"/>
      <c r="AU629" s="34"/>
      <c r="AV629" s="34"/>
      <c r="AW629" s="34"/>
      <c r="AX629" s="34"/>
      <c r="AY629" s="34"/>
      <c r="AZ629" s="34"/>
    </row>
    <row r="630" spans="1:52" x14ac:dyDescent="0.2">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c r="AF630" s="34"/>
      <c r="AG630" s="34"/>
      <c r="AH630" s="34"/>
      <c r="AI630" s="34"/>
      <c r="AJ630" s="34"/>
      <c r="AK630" s="34"/>
      <c r="AL630" s="34"/>
      <c r="AM630" s="34"/>
      <c r="AN630" s="34"/>
      <c r="AO630" s="34"/>
      <c r="AP630" s="34"/>
      <c r="AQ630" s="34"/>
      <c r="AR630" s="34"/>
      <c r="AS630" s="34"/>
      <c r="AT630" s="34"/>
      <c r="AU630" s="34"/>
      <c r="AV630" s="34"/>
      <c r="AW630" s="34"/>
      <c r="AX630" s="34"/>
      <c r="AY630" s="34"/>
      <c r="AZ630" s="34"/>
    </row>
    <row r="631" spans="1:52" x14ac:dyDescent="0.2">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c r="AF631" s="34"/>
      <c r="AG631" s="34"/>
      <c r="AH631" s="34"/>
      <c r="AI631" s="34"/>
      <c r="AJ631" s="34"/>
      <c r="AK631" s="34"/>
      <c r="AL631" s="34"/>
      <c r="AM631" s="34"/>
      <c r="AN631" s="34"/>
      <c r="AO631" s="34"/>
      <c r="AP631" s="34"/>
      <c r="AQ631" s="34"/>
      <c r="AR631" s="34"/>
      <c r="AS631" s="34"/>
      <c r="AT631" s="34"/>
      <c r="AU631" s="34"/>
      <c r="AV631" s="34"/>
      <c r="AW631" s="34"/>
      <c r="AX631" s="34"/>
      <c r="AY631" s="34"/>
      <c r="AZ631" s="34"/>
    </row>
    <row r="632" spans="1:52" x14ac:dyDescent="0.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c r="AF632" s="34"/>
      <c r="AG632" s="34"/>
      <c r="AH632" s="34"/>
      <c r="AI632" s="34"/>
      <c r="AJ632" s="34"/>
      <c r="AK632" s="34"/>
      <c r="AL632" s="34"/>
      <c r="AM632" s="34"/>
      <c r="AN632" s="34"/>
      <c r="AO632" s="34"/>
      <c r="AP632" s="34"/>
      <c r="AQ632" s="34"/>
      <c r="AR632" s="34"/>
      <c r="AS632" s="34"/>
      <c r="AT632" s="34"/>
      <c r="AU632" s="34"/>
      <c r="AV632" s="34"/>
      <c r="AW632" s="34"/>
      <c r="AX632" s="34"/>
      <c r="AY632" s="34"/>
      <c r="AZ632" s="34"/>
    </row>
    <row r="633" spans="1:52" x14ac:dyDescent="0.2">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c r="AF633" s="34"/>
      <c r="AG633" s="34"/>
      <c r="AH633" s="34"/>
      <c r="AI633" s="34"/>
      <c r="AJ633" s="34"/>
      <c r="AK633" s="34"/>
      <c r="AL633" s="34"/>
      <c r="AM633" s="34"/>
      <c r="AN633" s="34"/>
      <c r="AO633" s="34"/>
      <c r="AP633" s="34"/>
      <c r="AQ633" s="34"/>
      <c r="AR633" s="34"/>
      <c r="AS633" s="34"/>
      <c r="AT633" s="34"/>
      <c r="AU633" s="34"/>
      <c r="AV633" s="34"/>
      <c r="AW633" s="34"/>
      <c r="AX633" s="34"/>
      <c r="AY633" s="34"/>
      <c r="AZ633" s="34"/>
    </row>
    <row r="634" spans="1:52" x14ac:dyDescent="0.2">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c r="AF634" s="34"/>
      <c r="AG634" s="34"/>
      <c r="AH634" s="34"/>
      <c r="AI634" s="34"/>
      <c r="AJ634" s="34"/>
      <c r="AK634" s="34"/>
      <c r="AL634" s="34"/>
      <c r="AM634" s="34"/>
      <c r="AN634" s="34"/>
      <c r="AO634" s="34"/>
      <c r="AP634" s="34"/>
      <c r="AQ634" s="34"/>
      <c r="AR634" s="34"/>
      <c r="AS634" s="34"/>
      <c r="AT634" s="34"/>
      <c r="AU634" s="34"/>
      <c r="AV634" s="34"/>
      <c r="AW634" s="34"/>
      <c r="AX634" s="34"/>
      <c r="AY634" s="34"/>
      <c r="AZ634" s="34"/>
    </row>
    <row r="635" spans="1:52" x14ac:dyDescent="0.2">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c r="AF635" s="34"/>
      <c r="AG635" s="34"/>
      <c r="AH635" s="34"/>
      <c r="AI635" s="34"/>
      <c r="AJ635" s="34"/>
      <c r="AK635" s="34"/>
      <c r="AL635" s="34"/>
      <c r="AM635" s="34"/>
      <c r="AN635" s="34"/>
      <c r="AO635" s="34"/>
      <c r="AP635" s="34"/>
      <c r="AQ635" s="34"/>
      <c r="AR635" s="34"/>
      <c r="AS635" s="34"/>
      <c r="AT635" s="34"/>
      <c r="AU635" s="34"/>
      <c r="AV635" s="34"/>
      <c r="AW635" s="34"/>
      <c r="AX635" s="34"/>
      <c r="AY635" s="34"/>
      <c r="AZ635" s="34"/>
    </row>
    <row r="636" spans="1:52" x14ac:dyDescent="0.2">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c r="AF636" s="34"/>
      <c r="AG636" s="34"/>
      <c r="AH636" s="34"/>
      <c r="AI636" s="34"/>
      <c r="AJ636" s="34"/>
      <c r="AK636" s="34"/>
      <c r="AL636" s="34"/>
      <c r="AM636" s="34"/>
      <c r="AN636" s="34"/>
      <c r="AO636" s="34"/>
      <c r="AP636" s="34"/>
      <c r="AQ636" s="34"/>
      <c r="AR636" s="34"/>
      <c r="AS636" s="34"/>
      <c r="AT636" s="34"/>
      <c r="AU636" s="34"/>
      <c r="AV636" s="34"/>
      <c r="AW636" s="34"/>
      <c r="AX636" s="34"/>
      <c r="AY636" s="34"/>
      <c r="AZ636" s="34"/>
    </row>
    <row r="637" spans="1:52" x14ac:dyDescent="0.2">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c r="AF637" s="34"/>
      <c r="AG637" s="34"/>
      <c r="AH637" s="34"/>
      <c r="AI637" s="34"/>
      <c r="AJ637" s="34"/>
      <c r="AK637" s="34"/>
      <c r="AL637" s="34"/>
      <c r="AM637" s="34"/>
      <c r="AN637" s="34"/>
      <c r="AO637" s="34"/>
      <c r="AP637" s="34"/>
      <c r="AQ637" s="34"/>
      <c r="AR637" s="34"/>
      <c r="AS637" s="34"/>
      <c r="AT637" s="34"/>
      <c r="AU637" s="34"/>
      <c r="AV637" s="34"/>
      <c r="AW637" s="34"/>
      <c r="AX637" s="34"/>
      <c r="AY637" s="34"/>
      <c r="AZ637" s="34"/>
    </row>
    <row r="638" spans="1:52" x14ac:dyDescent="0.2">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c r="AF638" s="34"/>
      <c r="AG638" s="34"/>
      <c r="AH638" s="34"/>
      <c r="AI638" s="34"/>
      <c r="AJ638" s="34"/>
      <c r="AK638" s="34"/>
      <c r="AL638" s="34"/>
      <c r="AM638" s="34"/>
      <c r="AN638" s="34"/>
      <c r="AO638" s="34"/>
      <c r="AP638" s="34"/>
      <c r="AQ638" s="34"/>
      <c r="AR638" s="34"/>
      <c r="AS638" s="34"/>
      <c r="AT638" s="34"/>
      <c r="AU638" s="34"/>
      <c r="AV638" s="34"/>
      <c r="AW638" s="34"/>
      <c r="AX638" s="34"/>
      <c r="AY638" s="34"/>
      <c r="AZ638" s="34"/>
    </row>
    <row r="639" spans="1:52" x14ac:dyDescent="0.2">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c r="AF639" s="34"/>
      <c r="AG639" s="34"/>
      <c r="AH639" s="34"/>
      <c r="AI639" s="34"/>
      <c r="AJ639" s="34"/>
      <c r="AK639" s="34"/>
      <c r="AL639" s="34"/>
      <c r="AM639" s="34"/>
      <c r="AN639" s="34"/>
      <c r="AO639" s="34"/>
      <c r="AP639" s="34"/>
      <c r="AQ639" s="34"/>
      <c r="AR639" s="34"/>
      <c r="AS639" s="34"/>
      <c r="AT639" s="34"/>
      <c r="AU639" s="34"/>
      <c r="AV639" s="34"/>
      <c r="AW639" s="34"/>
      <c r="AX639" s="34"/>
      <c r="AY639" s="34"/>
      <c r="AZ639" s="34"/>
    </row>
    <row r="640" spans="1:52" x14ac:dyDescent="0.2">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c r="AF640" s="34"/>
      <c r="AG640" s="34"/>
      <c r="AH640" s="34"/>
      <c r="AI640" s="34"/>
      <c r="AJ640" s="34"/>
      <c r="AK640" s="34"/>
      <c r="AL640" s="34"/>
      <c r="AM640" s="34"/>
      <c r="AN640" s="34"/>
      <c r="AO640" s="34"/>
      <c r="AP640" s="34"/>
      <c r="AQ640" s="34"/>
      <c r="AR640" s="34"/>
      <c r="AS640" s="34"/>
      <c r="AT640" s="34"/>
      <c r="AU640" s="34"/>
      <c r="AV640" s="34"/>
      <c r="AW640" s="34"/>
      <c r="AX640" s="34"/>
      <c r="AY640" s="34"/>
      <c r="AZ640" s="34"/>
    </row>
    <row r="641" spans="1:52" x14ac:dyDescent="0.2">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c r="AF641" s="34"/>
      <c r="AG641" s="34"/>
      <c r="AH641" s="34"/>
      <c r="AI641" s="34"/>
      <c r="AJ641" s="34"/>
      <c r="AK641" s="34"/>
      <c r="AL641" s="34"/>
      <c r="AM641" s="34"/>
      <c r="AN641" s="34"/>
      <c r="AO641" s="34"/>
      <c r="AP641" s="34"/>
      <c r="AQ641" s="34"/>
      <c r="AR641" s="34"/>
      <c r="AS641" s="34"/>
      <c r="AT641" s="34"/>
      <c r="AU641" s="34"/>
      <c r="AV641" s="34"/>
      <c r="AW641" s="34"/>
      <c r="AX641" s="34"/>
      <c r="AY641" s="34"/>
      <c r="AZ641" s="34"/>
    </row>
    <row r="642" spans="1:52" x14ac:dyDescent="0.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c r="AF642" s="34"/>
      <c r="AG642" s="34"/>
      <c r="AH642" s="34"/>
      <c r="AI642" s="34"/>
      <c r="AJ642" s="34"/>
      <c r="AK642" s="34"/>
      <c r="AL642" s="34"/>
      <c r="AM642" s="34"/>
      <c r="AN642" s="34"/>
      <c r="AO642" s="34"/>
      <c r="AP642" s="34"/>
      <c r="AQ642" s="34"/>
      <c r="AR642" s="34"/>
      <c r="AS642" s="34"/>
      <c r="AT642" s="34"/>
      <c r="AU642" s="34"/>
      <c r="AV642" s="34"/>
      <c r="AW642" s="34"/>
      <c r="AX642" s="34"/>
      <c r="AY642" s="34"/>
      <c r="AZ642" s="34"/>
    </row>
    <row r="643" spans="1:52" x14ac:dyDescent="0.2">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c r="AF643" s="34"/>
      <c r="AG643" s="34"/>
      <c r="AH643" s="34"/>
      <c r="AI643" s="34"/>
      <c r="AJ643" s="34"/>
      <c r="AK643" s="34"/>
      <c r="AL643" s="34"/>
      <c r="AM643" s="34"/>
      <c r="AN643" s="34"/>
      <c r="AO643" s="34"/>
      <c r="AP643" s="34"/>
      <c r="AQ643" s="34"/>
      <c r="AR643" s="34"/>
      <c r="AS643" s="34"/>
      <c r="AT643" s="34"/>
      <c r="AU643" s="34"/>
      <c r="AV643" s="34"/>
      <c r="AW643" s="34"/>
      <c r="AX643" s="34"/>
      <c r="AY643" s="34"/>
      <c r="AZ643" s="34"/>
    </row>
    <row r="644" spans="1:52" x14ac:dyDescent="0.2">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c r="AF644" s="34"/>
      <c r="AG644" s="34"/>
      <c r="AH644" s="34"/>
      <c r="AI644" s="34"/>
      <c r="AJ644" s="34"/>
      <c r="AK644" s="34"/>
      <c r="AL644" s="34"/>
      <c r="AM644" s="34"/>
      <c r="AN644" s="34"/>
      <c r="AO644" s="34"/>
      <c r="AP644" s="34"/>
      <c r="AQ644" s="34"/>
      <c r="AR644" s="34"/>
      <c r="AS644" s="34"/>
      <c r="AT644" s="34"/>
      <c r="AU644" s="34"/>
      <c r="AV644" s="34"/>
      <c r="AW644" s="34"/>
      <c r="AX644" s="34"/>
      <c r="AY644" s="34"/>
      <c r="AZ644" s="34"/>
    </row>
    <row r="645" spans="1:52" x14ac:dyDescent="0.2">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c r="AF645" s="34"/>
      <c r="AG645" s="34"/>
      <c r="AH645" s="34"/>
      <c r="AI645" s="34"/>
      <c r="AJ645" s="34"/>
      <c r="AK645" s="34"/>
      <c r="AL645" s="34"/>
      <c r="AM645" s="34"/>
      <c r="AN645" s="34"/>
      <c r="AO645" s="34"/>
      <c r="AP645" s="34"/>
      <c r="AQ645" s="34"/>
      <c r="AR645" s="34"/>
      <c r="AS645" s="34"/>
      <c r="AT645" s="34"/>
      <c r="AU645" s="34"/>
      <c r="AV645" s="34"/>
      <c r="AW645" s="34"/>
      <c r="AX645" s="34"/>
      <c r="AY645" s="34"/>
      <c r="AZ645" s="34"/>
    </row>
    <row r="646" spans="1:52" x14ac:dyDescent="0.2">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c r="AF646" s="34"/>
      <c r="AG646" s="34"/>
      <c r="AH646" s="34"/>
      <c r="AI646" s="34"/>
      <c r="AJ646" s="34"/>
      <c r="AK646" s="34"/>
      <c r="AL646" s="34"/>
      <c r="AM646" s="34"/>
      <c r="AN646" s="34"/>
      <c r="AO646" s="34"/>
      <c r="AP646" s="34"/>
      <c r="AQ646" s="34"/>
      <c r="AR646" s="34"/>
      <c r="AS646" s="34"/>
      <c r="AT646" s="34"/>
      <c r="AU646" s="34"/>
      <c r="AV646" s="34"/>
      <c r="AW646" s="34"/>
      <c r="AX646" s="34"/>
      <c r="AY646" s="34"/>
      <c r="AZ646" s="34"/>
    </row>
    <row r="647" spans="1:52" x14ac:dyDescent="0.2">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c r="AF647" s="34"/>
      <c r="AG647" s="34"/>
      <c r="AH647" s="34"/>
      <c r="AI647" s="34"/>
      <c r="AJ647" s="34"/>
      <c r="AK647" s="34"/>
      <c r="AL647" s="34"/>
      <c r="AM647" s="34"/>
      <c r="AN647" s="34"/>
      <c r="AO647" s="34"/>
      <c r="AP647" s="34"/>
      <c r="AQ647" s="34"/>
      <c r="AR647" s="34"/>
      <c r="AS647" s="34"/>
      <c r="AT647" s="34"/>
      <c r="AU647" s="34"/>
      <c r="AV647" s="34"/>
      <c r="AW647" s="34"/>
      <c r="AX647" s="34"/>
      <c r="AY647" s="34"/>
      <c r="AZ647" s="34"/>
    </row>
    <row r="648" spans="1:52" x14ac:dyDescent="0.2">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c r="AF648" s="34"/>
      <c r="AG648" s="34"/>
      <c r="AH648" s="34"/>
      <c r="AI648" s="34"/>
      <c r="AJ648" s="34"/>
      <c r="AK648" s="34"/>
      <c r="AL648" s="34"/>
      <c r="AM648" s="34"/>
      <c r="AN648" s="34"/>
      <c r="AO648" s="34"/>
      <c r="AP648" s="34"/>
      <c r="AQ648" s="34"/>
      <c r="AR648" s="34"/>
      <c r="AS648" s="34"/>
      <c r="AT648" s="34"/>
      <c r="AU648" s="34"/>
      <c r="AV648" s="34"/>
      <c r="AW648" s="34"/>
      <c r="AX648" s="34"/>
      <c r="AY648" s="34"/>
      <c r="AZ648" s="34"/>
    </row>
    <row r="649" spans="1:52" x14ac:dyDescent="0.2">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c r="AF649" s="34"/>
      <c r="AG649" s="34"/>
      <c r="AH649" s="34"/>
      <c r="AI649" s="34"/>
      <c r="AJ649" s="34"/>
      <c r="AK649" s="34"/>
      <c r="AL649" s="34"/>
      <c r="AM649" s="34"/>
      <c r="AN649" s="34"/>
      <c r="AO649" s="34"/>
      <c r="AP649" s="34"/>
      <c r="AQ649" s="34"/>
      <c r="AR649" s="34"/>
      <c r="AS649" s="34"/>
      <c r="AT649" s="34"/>
      <c r="AU649" s="34"/>
      <c r="AV649" s="34"/>
      <c r="AW649" s="34"/>
      <c r="AX649" s="34"/>
      <c r="AY649" s="34"/>
      <c r="AZ649" s="34"/>
    </row>
    <row r="650" spans="1:52" x14ac:dyDescent="0.2">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c r="AF650" s="34"/>
      <c r="AG650" s="34"/>
      <c r="AH650" s="34"/>
      <c r="AI650" s="34"/>
      <c r="AJ650" s="34"/>
      <c r="AK650" s="34"/>
      <c r="AL650" s="34"/>
      <c r="AM650" s="34"/>
      <c r="AN650" s="34"/>
      <c r="AO650" s="34"/>
      <c r="AP650" s="34"/>
      <c r="AQ650" s="34"/>
      <c r="AR650" s="34"/>
      <c r="AS650" s="34"/>
      <c r="AT650" s="34"/>
      <c r="AU650" s="34"/>
      <c r="AV650" s="34"/>
      <c r="AW650" s="34"/>
      <c r="AX650" s="34"/>
      <c r="AY650" s="34"/>
      <c r="AZ650" s="34"/>
    </row>
    <row r="651" spans="1:52" x14ac:dyDescent="0.2">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c r="AF651" s="34"/>
      <c r="AG651" s="34"/>
      <c r="AH651" s="34"/>
      <c r="AI651" s="34"/>
      <c r="AJ651" s="34"/>
      <c r="AK651" s="34"/>
      <c r="AL651" s="34"/>
      <c r="AM651" s="34"/>
      <c r="AN651" s="34"/>
      <c r="AO651" s="34"/>
      <c r="AP651" s="34"/>
      <c r="AQ651" s="34"/>
      <c r="AR651" s="34"/>
      <c r="AS651" s="34"/>
      <c r="AT651" s="34"/>
      <c r="AU651" s="34"/>
      <c r="AV651" s="34"/>
      <c r="AW651" s="34"/>
      <c r="AX651" s="34"/>
      <c r="AY651" s="34"/>
      <c r="AZ651" s="34"/>
    </row>
    <row r="652" spans="1:52" x14ac:dyDescent="0.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c r="AF652" s="34"/>
      <c r="AG652" s="34"/>
      <c r="AH652" s="34"/>
      <c r="AI652" s="34"/>
      <c r="AJ652" s="34"/>
      <c r="AK652" s="34"/>
      <c r="AL652" s="34"/>
      <c r="AM652" s="34"/>
      <c r="AN652" s="34"/>
      <c r="AO652" s="34"/>
      <c r="AP652" s="34"/>
      <c r="AQ652" s="34"/>
      <c r="AR652" s="34"/>
      <c r="AS652" s="34"/>
      <c r="AT652" s="34"/>
      <c r="AU652" s="34"/>
      <c r="AV652" s="34"/>
      <c r="AW652" s="34"/>
      <c r="AX652" s="34"/>
      <c r="AY652" s="34"/>
      <c r="AZ652" s="34"/>
    </row>
    <row r="653" spans="1:52" x14ac:dyDescent="0.2">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c r="AF653" s="34"/>
      <c r="AG653" s="34"/>
      <c r="AH653" s="34"/>
      <c r="AI653" s="34"/>
      <c r="AJ653" s="34"/>
      <c r="AK653" s="34"/>
      <c r="AL653" s="34"/>
      <c r="AM653" s="34"/>
      <c r="AN653" s="34"/>
      <c r="AO653" s="34"/>
      <c r="AP653" s="34"/>
      <c r="AQ653" s="34"/>
      <c r="AR653" s="34"/>
      <c r="AS653" s="34"/>
      <c r="AT653" s="34"/>
      <c r="AU653" s="34"/>
      <c r="AV653" s="34"/>
      <c r="AW653" s="34"/>
      <c r="AX653" s="34"/>
      <c r="AY653" s="34"/>
      <c r="AZ653" s="34"/>
    </row>
    <row r="654" spans="1:52" x14ac:dyDescent="0.2">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c r="AF654" s="34"/>
      <c r="AG654" s="34"/>
      <c r="AH654" s="34"/>
      <c r="AI654" s="34"/>
      <c r="AJ654" s="34"/>
      <c r="AK654" s="34"/>
      <c r="AL654" s="34"/>
      <c r="AM654" s="34"/>
      <c r="AN654" s="34"/>
      <c r="AO654" s="34"/>
      <c r="AP654" s="34"/>
      <c r="AQ654" s="34"/>
      <c r="AR654" s="34"/>
      <c r="AS654" s="34"/>
      <c r="AT654" s="34"/>
      <c r="AU654" s="34"/>
      <c r="AV654" s="34"/>
      <c r="AW654" s="34"/>
      <c r="AX654" s="34"/>
      <c r="AY654" s="34"/>
      <c r="AZ654" s="34"/>
    </row>
    <row r="655" spans="1:52" x14ac:dyDescent="0.2">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c r="AF655" s="34"/>
      <c r="AG655" s="34"/>
      <c r="AH655" s="34"/>
      <c r="AI655" s="34"/>
      <c r="AJ655" s="34"/>
      <c r="AK655" s="34"/>
      <c r="AL655" s="34"/>
      <c r="AM655" s="34"/>
      <c r="AN655" s="34"/>
      <c r="AO655" s="34"/>
      <c r="AP655" s="34"/>
      <c r="AQ655" s="34"/>
      <c r="AR655" s="34"/>
      <c r="AS655" s="34"/>
      <c r="AT655" s="34"/>
      <c r="AU655" s="34"/>
      <c r="AV655" s="34"/>
      <c r="AW655" s="34"/>
      <c r="AX655" s="34"/>
      <c r="AY655" s="34"/>
      <c r="AZ655" s="34"/>
    </row>
    <row r="656" spans="1:52" x14ac:dyDescent="0.2">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c r="AF656" s="34"/>
      <c r="AG656" s="34"/>
      <c r="AH656" s="34"/>
      <c r="AI656" s="34"/>
      <c r="AJ656" s="34"/>
      <c r="AK656" s="34"/>
      <c r="AL656" s="34"/>
      <c r="AM656" s="34"/>
      <c r="AN656" s="34"/>
      <c r="AO656" s="34"/>
      <c r="AP656" s="34"/>
      <c r="AQ656" s="34"/>
      <c r="AR656" s="34"/>
      <c r="AS656" s="34"/>
      <c r="AT656" s="34"/>
      <c r="AU656" s="34"/>
      <c r="AV656" s="34"/>
      <c r="AW656" s="34"/>
      <c r="AX656" s="34"/>
      <c r="AY656" s="34"/>
      <c r="AZ656" s="34"/>
    </row>
    <row r="657" spans="1:52" x14ac:dyDescent="0.2">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c r="AF657" s="34"/>
      <c r="AG657" s="34"/>
      <c r="AH657" s="34"/>
      <c r="AI657" s="34"/>
      <c r="AJ657" s="34"/>
      <c r="AK657" s="34"/>
      <c r="AL657" s="34"/>
      <c r="AM657" s="34"/>
      <c r="AN657" s="34"/>
      <c r="AO657" s="34"/>
      <c r="AP657" s="34"/>
      <c r="AQ657" s="34"/>
      <c r="AR657" s="34"/>
      <c r="AS657" s="34"/>
      <c r="AT657" s="34"/>
      <c r="AU657" s="34"/>
      <c r="AV657" s="34"/>
      <c r="AW657" s="34"/>
      <c r="AX657" s="34"/>
      <c r="AY657" s="34"/>
      <c r="AZ657" s="34"/>
    </row>
    <row r="658" spans="1:52" x14ac:dyDescent="0.2">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c r="AF658" s="34"/>
      <c r="AG658" s="34"/>
      <c r="AH658" s="34"/>
      <c r="AI658" s="34"/>
      <c r="AJ658" s="34"/>
      <c r="AK658" s="34"/>
      <c r="AL658" s="34"/>
      <c r="AM658" s="34"/>
      <c r="AN658" s="34"/>
      <c r="AO658" s="34"/>
      <c r="AP658" s="34"/>
      <c r="AQ658" s="34"/>
      <c r="AR658" s="34"/>
      <c r="AS658" s="34"/>
      <c r="AT658" s="34"/>
      <c r="AU658" s="34"/>
      <c r="AV658" s="34"/>
      <c r="AW658" s="34"/>
      <c r="AX658" s="34"/>
      <c r="AY658" s="34"/>
      <c r="AZ658" s="34"/>
    </row>
    <row r="659" spans="1:52" x14ac:dyDescent="0.2">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c r="AF659" s="34"/>
      <c r="AG659" s="34"/>
      <c r="AH659" s="34"/>
      <c r="AI659" s="34"/>
      <c r="AJ659" s="34"/>
      <c r="AK659" s="34"/>
      <c r="AL659" s="34"/>
      <c r="AM659" s="34"/>
      <c r="AN659" s="34"/>
      <c r="AO659" s="34"/>
      <c r="AP659" s="34"/>
      <c r="AQ659" s="34"/>
      <c r="AR659" s="34"/>
      <c r="AS659" s="34"/>
      <c r="AT659" s="34"/>
      <c r="AU659" s="34"/>
      <c r="AV659" s="34"/>
      <c r="AW659" s="34"/>
      <c r="AX659" s="34"/>
      <c r="AY659" s="34"/>
      <c r="AZ659" s="34"/>
    </row>
    <row r="660" spans="1:52" x14ac:dyDescent="0.2">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c r="AF660" s="34"/>
      <c r="AG660" s="34"/>
      <c r="AH660" s="34"/>
      <c r="AI660" s="34"/>
      <c r="AJ660" s="34"/>
      <c r="AK660" s="34"/>
      <c r="AL660" s="34"/>
      <c r="AM660" s="34"/>
      <c r="AN660" s="34"/>
      <c r="AO660" s="34"/>
      <c r="AP660" s="34"/>
      <c r="AQ660" s="34"/>
      <c r="AR660" s="34"/>
      <c r="AS660" s="34"/>
      <c r="AT660" s="34"/>
      <c r="AU660" s="34"/>
      <c r="AV660" s="34"/>
      <c r="AW660" s="34"/>
      <c r="AX660" s="34"/>
      <c r="AY660" s="34"/>
      <c r="AZ660" s="34"/>
    </row>
    <row r="661" spans="1:52" x14ac:dyDescent="0.2">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c r="AF661" s="34"/>
      <c r="AG661" s="34"/>
      <c r="AH661" s="34"/>
      <c r="AI661" s="34"/>
      <c r="AJ661" s="34"/>
      <c r="AK661" s="34"/>
      <c r="AL661" s="34"/>
      <c r="AM661" s="34"/>
      <c r="AN661" s="34"/>
      <c r="AO661" s="34"/>
      <c r="AP661" s="34"/>
      <c r="AQ661" s="34"/>
      <c r="AR661" s="34"/>
      <c r="AS661" s="34"/>
      <c r="AT661" s="34"/>
      <c r="AU661" s="34"/>
      <c r="AV661" s="34"/>
      <c r="AW661" s="34"/>
      <c r="AX661" s="34"/>
      <c r="AY661" s="34"/>
      <c r="AZ661" s="34"/>
    </row>
    <row r="662" spans="1:52" x14ac:dyDescent="0.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c r="AF662" s="34"/>
      <c r="AG662" s="34"/>
      <c r="AH662" s="34"/>
      <c r="AI662" s="34"/>
      <c r="AJ662" s="34"/>
      <c r="AK662" s="34"/>
      <c r="AL662" s="34"/>
      <c r="AM662" s="34"/>
      <c r="AN662" s="34"/>
      <c r="AO662" s="34"/>
      <c r="AP662" s="34"/>
      <c r="AQ662" s="34"/>
      <c r="AR662" s="34"/>
      <c r="AS662" s="34"/>
      <c r="AT662" s="34"/>
      <c r="AU662" s="34"/>
      <c r="AV662" s="34"/>
      <c r="AW662" s="34"/>
      <c r="AX662" s="34"/>
      <c r="AY662" s="34"/>
      <c r="AZ662" s="34"/>
    </row>
    <row r="663" spans="1:52" x14ac:dyDescent="0.2">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c r="AF663" s="34"/>
      <c r="AG663" s="34"/>
      <c r="AH663" s="34"/>
      <c r="AI663" s="34"/>
      <c r="AJ663" s="34"/>
      <c r="AK663" s="34"/>
      <c r="AL663" s="34"/>
      <c r="AM663" s="34"/>
      <c r="AN663" s="34"/>
      <c r="AO663" s="34"/>
      <c r="AP663" s="34"/>
      <c r="AQ663" s="34"/>
      <c r="AR663" s="34"/>
      <c r="AS663" s="34"/>
      <c r="AT663" s="34"/>
      <c r="AU663" s="34"/>
      <c r="AV663" s="34"/>
      <c r="AW663" s="34"/>
      <c r="AX663" s="34"/>
      <c r="AY663" s="34"/>
      <c r="AZ663" s="34"/>
    </row>
    <row r="664" spans="1:52" x14ac:dyDescent="0.2">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c r="AF664" s="34"/>
      <c r="AG664" s="34"/>
      <c r="AH664" s="34"/>
      <c r="AI664" s="34"/>
      <c r="AJ664" s="34"/>
      <c r="AK664" s="34"/>
      <c r="AL664" s="34"/>
      <c r="AM664" s="34"/>
      <c r="AN664" s="34"/>
      <c r="AO664" s="34"/>
      <c r="AP664" s="34"/>
      <c r="AQ664" s="34"/>
      <c r="AR664" s="34"/>
      <c r="AS664" s="34"/>
      <c r="AT664" s="34"/>
      <c r="AU664" s="34"/>
      <c r="AV664" s="34"/>
      <c r="AW664" s="34"/>
      <c r="AX664" s="34"/>
      <c r="AY664" s="34"/>
      <c r="AZ664" s="34"/>
    </row>
    <row r="665" spans="1:52" x14ac:dyDescent="0.2">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c r="AF665" s="34"/>
      <c r="AG665" s="34"/>
      <c r="AH665" s="34"/>
      <c r="AI665" s="34"/>
      <c r="AJ665" s="34"/>
      <c r="AK665" s="34"/>
      <c r="AL665" s="34"/>
      <c r="AM665" s="34"/>
      <c r="AN665" s="34"/>
      <c r="AO665" s="34"/>
      <c r="AP665" s="34"/>
      <c r="AQ665" s="34"/>
      <c r="AR665" s="34"/>
      <c r="AS665" s="34"/>
      <c r="AT665" s="34"/>
      <c r="AU665" s="34"/>
      <c r="AV665" s="34"/>
      <c r="AW665" s="34"/>
      <c r="AX665" s="34"/>
      <c r="AY665" s="34"/>
      <c r="AZ665" s="34"/>
    </row>
    <row r="666" spans="1:52" x14ac:dyDescent="0.2">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c r="AF666" s="34"/>
      <c r="AG666" s="34"/>
      <c r="AH666" s="34"/>
      <c r="AI666" s="34"/>
      <c r="AJ666" s="34"/>
      <c r="AK666" s="34"/>
      <c r="AL666" s="34"/>
      <c r="AM666" s="34"/>
      <c r="AN666" s="34"/>
      <c r="AO666" s="34"/>
      <c r="AP666" s="34"/>
      <c r="AQ666" s="34"/>
      <c r="AR666" s="34"/>
      <c r="AS666" s="34"/>
      <c r="AT666" s="34"/>
      <c r="AU666" s="34"/>
      <c r="AV666" s="34"/>
      <c r="AW666" s="34"/>
      <c r="AX666" s="34"/>
      <c r="AY666" s="34"/>
      <c r="AZ666" s="34"/>
    </row>
    <row r="667" spans="1:52" x14ac:dyDescent="0.2">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c r="AF667" s="34"/>
      <c r="AG667" s="34"/>
      <c r="AH667" s="34"/>
      <c r="AI667" s="34"/>
      <c r="AJ667" s="34"/>
      <c r="AK667" s="34"/>
      <c r="AL667" s="34"/>
      <c r="AM667" s="34"/>
      <c r="AN667" s="34"/>
      <c r="AO667" s="34"/>
      <c r="AP667" s="34"/>
      <c r="AQ667" s="34"/>
      <c r="AR667" s="34"/>
      <c r="AS667" s="34"/>
      <c r="AT667" s="34"/>
      <c r="AU667" s="34"/>
      <c r="AV667" s="34"/>
      <c r="AW667" s="34"/>
      <c r="AX667" s="34"/>
      <c r="AY667" s="34"/>
      <c r="AZ667" s="34"/>
    </row>
    <row r="668" spans="1:52" x14ac:dyDescent="0.2">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c r="AF668" s="34"/>
      <c r="AG668" s="34"/>
      <c r="AH668" s="34"/>
      <c r="AI668" s="34"/>
      <c r="AJ668" s="34"/>
      <c r="AK668" s="34"/>
      <c r="AL668" s="34"/>
      <c r="AM668" s="34"/>
      <c r="AN668" s="34"/>
      <c r="AO668" s="34"/>
      <c r="AP668" s="34"/>
      <c r="AQ668" s="34"/>
      <c r="AR668" s="34"/>
      <c r="AS668" s="34"/>
      <c r="AT668" s="34"/>
      <c r="AU668" s="34"/>
      <c r="AV668" s="34"/>
      <c r="AW668" s="34"/>
      <c r="AX668" s="34"/>
      <c r="AY668" s="34"/>
      <c r="AZ668" s="34"/>
    </row>
    <row r="669" spans="1:52" x14ac:dyDescent="0.2">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c r="AF669" s="34"/>
      <c r="AG669" s="34"/>
      <c r="AH669" s="34"/>
      <c r="AI669" s="34"/>
      <c r="AJ669" s="34"/>
      <c r="AK669" s="34"/>
      <c r="AL669" s="34"/>
      <c r="AM669" s="34"/>
      <c r="AN669" s="34"/>
      <c r="AO669" s="34"/>
      <c r="AP669" s="34"/>
      <c r="AQ669" s="34"/>
      <c r="AR669" s="34"/>
      <c r="AS669" s="34"/>
      <c r="AT669" s="34"/>
      <c r="AU669" s="34"/>
      <c r="AV669" s="34"/>
      <c r="AW669" s="34"/>
      <c r="AX669" s="34"/>
      <c r="AY669" s="34"/>
      <c r="AZ669" s="34"/>
    </row>
    <row r="670" spans="1:52" x14ac:dyDescent="0.2">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c r="AF670" s="34"/>
      <c r="AG670" s="34"/>
      <c r="AH670" s="34"/>
      <c r="AI670" s="34"/>
      <c r="AJ670" s="34"/>
      <c r="AK670" s="34"/>
      <c r="AL670" s="34"/>
      <c r="AM670" s="34"/>
      <c r="AN670" s="34"/>
      <c r="AO670" s="34"/>
      <c r="AP670" s="34"/>
      <c r="AQ670" s="34"/>
      <c r="AR670" s="34"/>
      <c r="AS670" s="34"/>
      <c r="AT670" s="34"/>
      <c r="AU670" s="34"/>
      <c r="AV670" s="34"/>
      <c r="AW670" s="34"/>
      <c r="AX670" s="34"/>
      <c r="AY670" s="34"/>
      <c r="AZ670" s="34"/>
    </row>
    <row r="671" spans="1:52" x14ac:dyDescent="0.2">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c r="AF671" s="34"/>
      <c r="AG671" s="34"/>
      <c r="AH671" s="34"/>
      <c r="AI671" s="34"/>
      <c r="AJ671" s="34"/>
      <c r="AK671" s="34"/>
      <c r="AL671" s="34"/>
      <c r="AM671" s="34"/>
      <c r="AN671" s="34"/>
      <c r="AO671" s="34"/>
      <c r="AP671" s="34"/>
      <c r="AQ671" s="34"/>
      <c r="AR671" s="34"/>
      <c r="AS671" s="34"/>
      <c r="AT671" s="34"/>
      <c r="AU671" s="34"/>
      <c r="AV671" s="34"/>
      <c r="AW671" s="34"/>
      <c r="AX671" s="34"/>
      <c r="AY671" s="34"/>
      <c r="AZ671" s="34"/>
    </row>
    <row r="672" spans="1:52" x14ac:dyDescent="0.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c r="AF672" s="34"/>
      <c r="AG672" s="34"/>
      <c r="AH672" s="34"/>
      <c r="AI672" s="34"/>
      <c r="AJ672" s="34"/>
      <c r="AK672" s="34"/>
      <c r="AL672" s="34"/>
      <c r="AM672" s="34"/>
      <c r="AN672" s="34"/>
      <c r="AO672" s="34"/>
      <c r="AP672" s="34"/>
      <c r="AQ672" s="34"/>
      <c r="AR672" s="34"/>
      <c r="AS672" s="34"/>
      <c r="AT672" s="34"/>
      <c r="AU672" s="34"/>
      <c r="AV672" s="34"/>
      <c r="AW672" s="34"/>
      <c r="AX672" s="34"/>
      <c r="AY672" s="34"/>
      <c r="AZ672" s="34"/>
    </row>
    <row r="673" spans="1:52" x14ac:dyDescent="0.2">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c r="AF673" s="34"/>
      <c r="AG673" s="34"/>
      <c r="AH673" s="34"/>
      <c r="AI673" s="34"/>
      <c r="AJ673" s="34"/>
      <c r="AK673" s="34"/>
      <c r="AL673" s="34"/>
      <c r="AM673" s="34"/>
      <c r="AN673" s="34"/>
      <c r="AO673" s="34"/>
      <c r="AP673" s="34"/>
      <c r="AQ673" s="34"/>
      <c r="AR673" s="34"/>
      <c r="AS673" s="34"/>
      <c r="AT673" s="34"/>
      <c r="AU673" s="34"/>
      <c r="AV673" s="34"/>
      <c r="AW673" s="34"/>
      <c r="AX673" s="34"/>
      <c r="AY673" s="34"/>
      <c r="AZ673" s="34"/>
    </row>
    <row r="674" spans="1:52" x14ac:dyDescent="0.2">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c r="AF674" s="34"/>
      <c r="AG674" s="34"/>
      <c r="AH674" s="34"/>
      <c r="AI674" s="34"/>
      <c r="AJ674" s="34"/>
      <c r="AK674" s="34"/>
      <c r="AL674" s="34"/>
      <c r="AM674" s="34"/>
      <c r="AN674" s="34"/>
      <c r="AO674" s="34"/>
      <c r="AP674" s="34"/>
      <c r="AQ674" s="34"/>
      <c r="AR674" s="34"/>
      <c r="AS674" s="34"/>
      <c r="AT674" s="34"/>
      <c r="AU674" s="34"/>
      <c r="AV674" s="34"/>
      <c r="AW674" s="34"/>
      <c r="AX674" s="34"/>
      <c r="AY674" s="34"/>
      <c r="AZ674" s="34"/>
    </row>
    <row r="675" spans="1:52" x14ac:dyDescent="0.2">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c r="AF675" s="34"/>
      <c r="AG675" s="34"/>
      <c r="AH675" s="34"/>
      <c r="AI675" s="34"/>
      <c r="AJ675" s="34"/>
      <c r="AK675" s="34"/>
      <c r="AL675" s="34"/>
      <c r="AM675" s="34"/>
      <c r="AN675" s="34"/>
      <c r="AO675" s="34"/>
      <c r="AP675" s="34"/>
      <c r="AQ675" s="34"/>
      <c r="AR675" s="34"/>
      <c r="AS675" s="34"/>
      <c r="AT675" s="34"/>
      <c r="AU675" s="34"/>
      <c r="AV675" s="34"/>
      <c r="AW675" s="34"/>
      <c r="AX675" s="34"/>
      <c r="AY675" s="34"/>
      <c r="AZ675" s="34"/>
    </row>
    <row r="676" spans="1:52" x14ac:dyDescent="0.2">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c r="AF676" s="34"/>
      <c r="AG676" s="34"/>
      <c r="AH676" s="34"/>
      <c r="AI676" s="34"/>
      <c r="AJ676" s="34"/>
      <c r="AK676" s="34"/>
      <c r="AL676" s="34"/>
      <c r="AM676" s="34"/>
      <c r="AN676" s="34"/>
      <c r="AO676" s="34"/>
      <c r="AP676" s="34"/>
      <c r="AQ676" s="34"/>
      <c r="AR676" s="34"/>
      <c r="AS676" s="34"/>
      <c r="AT676" s="34"/>
      <c r="AU676" s="34"/>
      <c r="AV676" s="34"/>
      <c r="AW676" s="34"/>
      <c r="AX676" s="34"/>
      <c r="AY676" s="34"/>
      <c r="AZ676" s="34"/>
    </row>
    <row r="677" spans="1:52" x14ac:dyDescent="0.2">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c r="AF677" s="34"/>
      <c r="AG677" s="34"/>
      <c r="AH677" s="34"/>
      <c r="AI677" s="34"/>
      <c r="AJ677" s="34"/>
      <c r="AK677" s="34"/>
      <c r="AL677" s="34"/>
      <c r="AM677" s="34"/>
      <c r="AN677" s="34"/>
      <c r="AO677" s="34"/>
      <c r="AP677" s="34"/>
      <c r="AQ677" s="34"/>
      <c r="AR677" s="34"/>
      <c r="AS677" s="34"/>
      <c r="AT677" s="34"/>
      <c r="AU677" s="34"/>
      <c r="AV677" s="34"/>
      <c r="AW677" s="34"/>
      <c r="AX677" s="34"/>
      <c r="AY677" s="34"/>
      <c r="AZ677" s="34"/>
    </row>
    <row r="678" spans="1:52" x14ac:dyDescent="0.2">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c r="AF678" s="34"/>
      <c r="AG678" s="34"/>
      <c r="AH678" s="34"/>
      <c r="AI678" s="34"/>
      <c r="AJ678" s="34"/>
      <c r="AK678" s="34"/>
      <c r="AL678" s="34"/>
      <c r="AM678" s="34"/>
      <c r="AN678" s="34"/>
      <c r="AO678" s="34"/>
      <c r="AP678" s="34"/>
      <c r="AQ678" s="34"/>
      <c r="AR678" s="34"/>
      <c r="AS678" s="34"/>
      <c r="AT678" s="34"/>
      <c r="AU678" s="34"/>
      <c r="AV678" s="34"/>
      <c r="AW678" s="34"/>
      <c r="AX678" s="34"/>
      <c r="AY678" s="34"/>
      <c r="AZ678" s="34"/>
    </row>
    <row r="679" spans="1:52" x14ac:dyDescent="0.2">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c r="AF679" s="34"/>
      <c r="AG679" s="34"/>
      <c r="AH679" s="34"/>
      <c r="AI679" s="34"/>
      <c r="AJ679" s="34"/>
      <c r="AK679" s="34"/>
      <c r="AL679" s="34"/>
      <c r="AM679" s="34"/>
      <c r="AN679" s="34"/>
      <c r="AO679" s="34"/>
      <c r="AP679" s="34"/>
      <c r="AQ679" s="34"/>
      <c r="AR679" s="34"/>
      <c r="AS679" s="34"/>
      <c r="AT679" s="34"/>
      <c r="AU679" s="34"/>
      <c r="AV679" s="34"/>
      <c r="AW679" s="34"/>
      <c r="AX679" s="34"/>
      <c r="AY679" s="34"/>
      <c r="AZ679" s="34"/>
    </row>
    <row r="680" spans="1:52" x14ac:dyDescent="0.2">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c r="AF680" s="34"/>
      <c r="AG680" s="34"/>
      <c r="AH680" s="34"/>
      <c r="AI680" s="34"/>
      <c r="AJ680" s="34"/>
      <c r="AK680" s="34"/>
      <c r="AL680" s="34"/>
      <c r="AM680" s="34"/>
      <c r="AN680" s="34"/>
      <c r="AO680" s="34"/>
      <c r="AP680" s="34"/>
      <c r="AQ680" s="34"/>
      <c r="AR680" s="34"/>
      <c r="AS680" s="34"/>
      <c r="AT680" s="34"/>
      <c r="AU680" s="34"/>
      <c r="AV680" s="34"/>
      <c r="AW680" s="34"/>
      <c r="AX680" s="34"/>
      <c r="AY680" s="34"/>
      <c r="AZ680" s="34"/>
    </row>
    <row r="681" spans="1:52" x14ac:dyDescent="0.2">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c r="AF681" s="34"/>
      <c r="AG681" s="34"/>
      <c r="AH681" s="34"/>
      <c r="AI681" s="34"/>
      <c r="AJ681" s="34"/>
      <c r="AK681" s="34"/>
      <c r="AL681" s="34"/>
      <c r="AM681" s="34"/>
      <c r="AN681" s="34"/>
      <c r="AO681" s="34"/>
      <c r="AP681" s="34"/>
      <c r="AQ681" s="34"/>
      <c r="AR681" s="34"/>
      <c r="AS681" s="34"/>
      <c r="AT681" s="34"/>
      <c r="AU681" s="34"/>
      <c r="AV681" s="34"/>
      <c r="AW681" s="34"/>
      <c r="AX681" s="34"/>
      <c r="AY681" s="34"/>
      <c r="AZ681" s="34"/>
    </row>
    <row r="682" spans="1:52" x14ac:dyDescent="0.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c r="AF682" s="34"/>
      <c r="AG682" s="34"/>
      <c r="AH682" s="34"/>
      <c r="AI682" s="34"/>
      <c r="AJ682" s="34"/>
      <c r="AK682" s="34"/>
      <c r="AL682" s="34"/>
      <c r="AM682" s="34"/>
      <c r="AN682" s="34"/>
      <c r="AO682" s="34"/>
      <c r="AP682" s="34"/>
      <c r="AQ682" s="34"/>
      <c r="AR682" s="34"/>
      <c r="AS682" s="34"/>
      <c r="AT682" s="34"/>
      <c r="AU682" s="34"/>
      <c r="AV682" s="34"/>
      <c r="AW682" s="34"/>
      <c r="AX682" s="34"/>
      <c r="AY682" s="34"/>
      <c r="AZ682" s="34"/>
    </row>
    <row r="683" spans="1:52" x14ac:dyDescent="0.2">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c r="AF683" s="34"/>
      <c r="AG683" s="34"/>
      <c r="AH683" s="34"/>
      <c r="AI683" s="34"/>
      <c r="AJ683" s="34"/>
      <c r="AK683" s="34"/>
      <c r="AL683" s="34"/>
      <c r="AM683" s="34"/>
      <c r="AN683" s="34"/>
      <c r="AO683" s="34"/>
      <c r="AP683" s="34"/>
      <c r="AQ683" s="34"/>
      <c r="AR683" s="34"/>
      <c r="AS683" s="34"/>
      <c r="AT683" s="34"/>
      <c r="AU683" s="34"/>
      <c r="AV683" s="34"/>
      <c r="AW683" s="34"/>
      <c r="AX683" s="34"/>
      <c r="AY683" s="34"/>
      <c r="AZ683" s="34"/>
    </row>
    <row r="684" spans="1:52" x14ac:dyDescent="0.2">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c r="AF684" s="34"/>
      <c r="AG684" s="34"/>
      <c r="AH684" s="34"/>
      <c r="AI684" s="34"/>
      <c r="AJ684" s="34"/>
      <c r="AK684" s="34"/>
      <c r="AL684" s="34"/>
      <c r="AM684" s="34"/>
      <c r="AN684" s="34"/>
      <c r="AO684" s="34"/>
      <c r="AP684" s="34"/>
      <c r="AQ684" s="34"/>
      <c r="AR684" s="34"/>
      <c r="AS684" s="34"/>
      <c r="AT684" s="34"/>
      <c r="AU684" s="34"/>
      <c r="AV684" s="34"/>
      <c r="AW684" s="34"/>
      <c r="AX684" s="34"/>
      <c r="AY684" s="34"/>
      <c r="AZ684" s="34"/>
    </row>
    <row r="685" spans="1:52" x14ac:dyDescent="0.2">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c r="AF685" s="34"/>
      <c r="AG685" s="34"/>
      <c r="AH685" s="34"/>
      <c r="AI685" s="34"/>
      <c r="AJ685" s="34"/>
      <c r="AK685" s="34"/>
      <c r="AL685" s="34"/>
      <c r="AM685" s="34"/>
      <c r="AN685" s="34"/>
      <c r="AO685" s="34"/>
      <c r="AP685" s="34"/>
      <c r="AQ685" s="34"/>
      <c r="AR685" s="34"/>
      <c r="AS685" s="34"/>
      <c r="AT685" s="34"/>
      <c r="AU685" s="34"/>
      <c r="AV685" s="34"/>
      <c r="AW685" s="34"/>
      <c r="AX685" s="34"/>
      <c r="AY685" s="34"/>
      <c r="AZ685" s="34"/>
    </row>
    <row r="686" spans="1:52" x14ac:dyDescent="0.2">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c r="AF686" s="34"/>
      <c r="AG686" s="34"/>
      <c r="AH686" s="34"/>
      <c r="AI686" s="34"/>
      <c r="AJ686" s="34"/>
      <c r="AK686" s="34"/>
      <c r="AL686" s="34"/>
      <c r="AM686" s="34"/>
      <c r="AN686" s="34"/>
      <c r="AO686" s="34"/>
      <c r="AP686" s="34"/>
      <c r="AQ686" s="34"/>
      <c r="AR686" s="34"/>
      <c r="AS686" s="34"/>
      <c r="AT686" s="34"/>
      <c r="AU686" s="34"/>
      <c r="AV686" s="34"/>
      <c r="AW686" s="34"/>
      <c r="AX686" s="34"/>
      <c r="AY686" s="34"/>
      <c r="AZ686" s="34"/>
    </row>
    <row r="687" spans="1:52" x14ac:dyDescent="0.2">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c r="AF687" s="34"/>
      <c r="AG687" s="34"/>
      <c r="AH687" s="34"/>
      <c r="AI687" s="34"/>
      <c r="AJ687" s="34"/>
      <c r="AK687" s="34"/>
      <c r="AL687" s="34"/>
      <c r="AM687" s="34"/>
      <c r="AN687" s="34"/>
      <c r="AO687" s="34"/>
      <c r="AP687" s="34"/>
      <c r="AQ687" s="34"/>
      <c r="AR687" s="34"/>
      <c r="AS687" s="34"/>
      <c r="AT687" s="34"/>
      <c r="AU687" s="34"/>
      <c r="AV687" s="34"/>
      <c r="AW687" s="34"/>
      <c r="AX687" s="34"/>
      <c r="AY687" s="34"/>
      <c r="AZ687" s="34"/>
    </row>
    <row r="688" spans="1:52" x14ac:dyDescent="0.2">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c r="AF688" s="34"/>
      <c r="AG688" s="34"/>
      <c r="AH688" s="34"/>
      <c r="AI688" s="34"/>
      <c r="AJ688" s="34"/>
      <c r="AK688" s="34"/>
      <c r="AL688" s="34"/>
      <c r="AM688" s="34"/>
      <c r="AN688" s="34"/>
      <c r="AO688" s="34"/>
      <c r="AP688" s="34"/>
      <c r="AQ688" s="34"/>
      <c r="AR688" s="34"/>
      <c r="AS688" s="34"/>
      <c r="AT688" s="34"/>
      <c r="AU688" s="34"/>
      <c r="AV688" s="34"/>
      <c r="AW688" s="34"/>
      <c r="AX688" s="34"/>
      <c r="AY688" s="34"/>
      <c r="AZ688" s="34"/>
    </row>
    <row r="689" spans="1:52" x14ac:dyDescent="0.2">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c r="AF689" s="34"/>
      <c r="AG689" s="34"/>
      <c r="AH689" s="34"/>
      <c r="AI689" s="34"/>
      <c r="AJ689" s="34"/>
      <c r="AK689" s="34"/>
      <c r="AL689" s="34"/>
      <c r="AM689" s="34"/>
      <c r="AN689" s="34"/>
      <c r="AO689" s="34"/>
      <c r="AP689" s="34"/>
      <c r="AQ689" s="34"/>
      <c r="AR689" s="34"/>
      <c r="AS689" s="34"/>
      <c r="AT689" s="34"/>
      <c r="AU689" s="34"/>
      <c r="AV689" s="34"/>
      <c r="AW689" s="34"/>
      <c r="AX689" s="34"/>
      <c r="AY689" s="34"/>
      <c r="AZ689" s="34"/>
    </row>
    <row r="690" spans="1:52" x14ac:dyDescent="0.2">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c r="AF690" s="34"/>
      <c r="AG690" s="34"/>
      <c r="AH690" s="34"/>
      <c r="AI690" s="34"/>
      <c r="AJ690" s="34"/>
      <c r="AK690" s="34"/>
      <c r="AL690" s="34"/>
      <c r="AM690" s="34"/>
      <c r="AN690" s="34"/>
      <c r="AO690" s="34"/>
      <c r="AP690" s="34"/>
      <c r="AQ690" s="34"/>
      <c r="AR690" s="34"/>
      <c r="AS690" s="34"/>
      <c r="AT690" s="34"/>
      <c r="AU690" s="34"/>
      <c r="AV690" s="34"/>
      <c r="AW690" s="34"/>
      <c r="AX690" s="34"/>
      <c r="AY690" s="34"/>
      <c r="AZ690" s="34"/>
    </row>
    <row r="691" spans="1:52" x14ac:dyDescent="0.2">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c r="AF691" s="34"/>
      <c r="AG691" s="34"/>
      <c r="AH691" s="34"/>
      <c r="AI691" s="34"/>
      <c r="AJ691" s="34"/>
      <c r="AK691" s="34"/>
      <c r="AL691" s="34"/>
      <c r="AM691" s="34"/>
      <c r="AN691" s="34"/>
      <c r="AO691" s="34"/>
      <c r="AP691" s="34"/>
      <c r="AQ691" s="34"/>
      <c r="AR691" s="34"/>
      <c r="AS691" s="34"/>
      <c r="AT691" s="34"/>
      <c r="AU691" s="34"/>
      <c r="AV691" s="34"/>
      <c r="AW691" s="34"/>
      <c r="AX691" s="34"/>
      <c r="AY691" s="34"/>
      <c r="AZ691" s="34"/>
    </row>
    <row r="692" spans="1:52" x14ac:dyDescent="0.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c r="AF692" s="34"/>
      <c r="AG692" s="34"/>
      <c r="AH692" s="34"/>
      <c r="AI692" s="34"/>
      <c r="AJ692" s="34"/>
      <c r="AK692" s="34"/>
      <c r="AL692" s="34"/>
      <c r="AM692" s="34"/>
      <c r="AN692" s="34"/>
      <c r="AO692" s="34"/>
      <c r="AP692" s="34"/>
      <c r="AQ692" s="34"/>
      <c r="AR692" s="34"/>
      <c r="AS692" s="34"/>
      <c r="AT692" s="34"/>
      <c r="AU692" s="34"/>
      <c r="AV692" s="34"/>
      <c r="AW692" s="34"/>
      <c r="AX692" s="34"/>
      <c r="AY692" s="34"/>
      <c r="AZ692" s="34"/>
    </row>
    <row r="693" spans="1:52" x14ac:dyDescent="0.2">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c r="AF693" s="34"/>
      <c r="AG693" s="34"/>
      <c r="AH693" s="34"/>
      <c r="AI693" s="34"/>
      <c r="AJ693" s="34"/>
      <c r="AK693" s="34"/>
      <c r="AL693" s="34"/>
      <c r="AM693" s="34"/>
      <c r="AN693" s="34"/>
      <c r="AO693" s="34"/>
      <c r="AP693" s="34"/>
      <c r="AQ693" s="34"/>
      <c r="AR693" s="34"/>
      <c r="AS693" s="34"/>
      <c r="AT693" s="34"/>
      <c r="AU693" s="34"/>
      <c r="AV693" s="34"/>
      <c r="AW693" s="34"/>
      <c r="AX693" s="34"/>
      <c r="AY693" s="34"/>
      <c r="AZ693" s="34"/>
    </row>
    <row r="694" spans="1:52" x14ac:dyDescent="0.2">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c r="AF694" s="34"/>
      <c r="AG694" s="34"/>
      <c r="AH694" s="34"/>
      <c r="AI694" s="34"/>
      <c r="AJ694" s="34"/>
      <c r="AK694" s="34"/>
      <c r="AL694" s="34"/>
      <c r="AM694" s="34"/>
      <c r="AN694" s="34"/>
      <c r="AO694" s="34"/>
      <c r="AP694" s="34"/>
      <c r="AQ694" s="34"/>
      <c r="AR694" s="34"/>
      <c r="AS694" s="34"/>
      <c r="AT694" s="34"/>
      <c r="AU694" s="34"/>
      <c r="AV694" s="34"/>
      <c r="AW694" s="34"/>
      <c r="AX694" s="34"/>
      <c r="AY694" s="34"/>
      <c r="AZ694" s="34"/>
    </row>
    <row r="695" spans="1:52" x14ac:dyDescent="0.2">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c r="AF695" s="34"/>
      <c r="AG695" s="34"/>
      <c r="AH695" s="34"/>
      <c r="AI695" s="34"/>
      <c r="AJ695" s="34"/>
      <c r="AK695" s="34"/>
      <c r="AL695" s="34"/>
      <c r="AM695" s="34"/>
      <c r="AN695" s="34"/>
      <c r="AO695" s="34"/>
      <c r="AP695" s="34"/>
      <c r="AQ695" s="34"/>
      <c r="AR695" s="34"/>
      <c r="AS695" s="34"/>
      <c r="AT695" s="34"/>
      <c r="AU695" s="34"/>
      <c r="AV695" s="34"/>
      <c r="AW695" s="34"/>
      <c r="AX695" s="34"/>
      <c r="AY695" s="34"/>
      <c r="AZ695" s="34"/>
    </row>
    <row r="696" spans="1:52" x14ac:dyDescent="0.2">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c r="AF696" s="34"/>
      <c r="AG696" s="34"/>
      <c r="AH696" s="34"/>
      <c r="AI696" s="34"/>
      <c r="AJ696" s="34"/>
      <c r="AK696" s="34"/>
      <c r="AL696" s="34"/>
      <c r="AM696" s="34"/>
      <c r="AN696" s="34"/>
      <c r="AO696" s="34"/>
      <c r="AP696" s="34"/>
      <c r="AQ696" s="34"/>
      <c r="AR696" s="34"/>
      <c r="AS696" s="34"/>
      <c r="AT696" s="34"/>
      <c r="AU696" s="34"/>
      <c r="AV696" s="34"/>
      <c r="AW696" s="34"/>
      <c r="AX696" s="34"/>
      <c r="AY696" s="34"/>
      <c r="AZ696" s="34"/>
    </row>
    <row r="697" spans="1:52" x14ac:dyDescent="0.2">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c r="AF697" s="34"/>
      <c r="AG697" s="34"/>
      <c r="AH697" s="34"/>
      <c r="AI697" s="34"/>
      <c r="AJ697" s="34"/>
      <c r="AK697" s="34"/>
      <c r="AL697" s="34"/>
      <c r="AM697" s="34"/>
      <c r="AN697" s="34"/>
      <c r="AO697" s="34"/>
      <c r="AP697" s="34"/>
      <c r="AQ697" s="34"/>
      <c r="AR697" s="34"/>
      <c r="AS697" s="34"/>
      <c r="AT697" s="34"/>
      <c r="AU697" s="34"/>
      <c r="AV697" s="34"/>
      <c r="AW697" s="34"/>
      <c r="AX697" s="34"/>
      <c r="AY697" s="34"/>
      <c r="AZ697" s="34"/>
    </row>
    <row r="698" spans="1:52" x14ac:dyDescent="0.2">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c r="AF698" s="34"/>
      <c r="AG698" s="34"/>
      <c r="AH698" s="34"/>
      <c r="AI698" s="34"/>
      <c r="AJ698" s="34"/>
      <c r="AK698" s="34"/>
      <c r="AL698" s="34"/>
      <c r="AM698" s="34"/>
      <c r="AN698" s="34"/>
      <c r="AO698" s="34"/>
      <c r="AP698" s="34"/>
      <c r="AQ698" s="34"/>
      <c r="AR698" s="34"/>
      <c r="AS698" s="34"/>
      <c r="AT698" s="34"/>
      <c r="AU698" s="34"/>
      <c r="AV698" s="34"/>
      <c r="AW698" s="34"/>
      <c r="AX698" s="34"/>
      <c r="AY698" s="34"/>
      <c r="AZ698" s="34"/>
    </row>
    <row r="699" spans="1:52" x14ac:dyDescent="0.2">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c r="AF699" s="34"/>
      <c r="AG699" s="34"/>
      <c r="AH699" s="34"/>
      <c r="AI699" s="34"/>
      <c r="AJ699" s="34"/>
      <c r="AK699" s="34"/>
      <c r="AL699" s="34"/>
      <c r="AM699" s="34"/>
      <c r="AN699" s="34"/>
      <c r="AO699" s="34"/>
      <c r="AP699" s="34"/>
      <c r="AQ699" s="34"/>
      <c r="AR699" s="34"/>
      <c r="AS699" s="34"/>
      <c r="AT699" s="34"/>
      <c r="AU699" s="34"/>
      <c r="AV699" s="34"/>
      <c r="AW699" s="34"/>
      <c r="AX699" s="34"/>
      <c r="AY699" s="34"/>
      <c r="AZ699" s="34"/>
    </row>
    <row r="700" spans="1:52" x14ac:dyDescent="0.2">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c r="AF700" s="34"/>
      <c r="AG700" s="34"/>
      <c r="AH700" s="34"/>
      <c r="AI700" s="34"/>
      <c r="AJ700" s="34"/>
      <c r="AK700" s="34"/>
      <c r="AL700" s="34"/>
      <c r="AM700" s="34"/>
      <c r="AN700" s="34"/>
      <c r="AO700" s="34"/>
      <c r="AP700" s="34"/>
      <c r="AQ700" s="34"/>
      <c r="AR700" s="34"/>
      <c r="AS700" s="34"/>
      <c r="AT700" s="34"/>
      <c r="AU700" s="34"/>
      <c r="AV700" s="34"/>
      <c r="AW700" s="34"/>
      <c r="AX700" s="34"/>
      <c r="AY700" s="34"/>
      <c r="AZ700" s="34"/>
    </row>
    <row r="701" spans="1:52" x14ac:dyDescent="0.2">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c r="AF701" s="34"/>
      <c r="AG701" s="34"/>
      <c r="AH701" s="34"/>
      <c r="AI701" s="34"/>
      <c r="AJ701" s="34"/>
      <c r="AK701" s="34"/>
      <c r="AL701" s="34"/>
      <c r="AM701" s="34"/>
      <c r="AN701" s="34"/>
      <c r="AO701" s="34"/>
      <c r="AP701" s="34"/>
      <c r="AQ701" s="34"/>
      <c r="AR701" s="34"/>
      <c r="AS701" s="34"/>
      <c r="AT701" s="34"/>
      <c r="AU701" s="34"/>
      <c r="AV701" s="34"/>
      <c r="AW701" s="34"/>
      <c r="AX701" s="34"/>
      <c r="AY701" s="34"/>
      <c r="AZ701" s="34"/>
    </row>
    <row r="702" spans="1:52" x14ac:dyDescent="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c r="AF702" s="34"/>
      <c r="AG702" s="34"/>
      <c r="AH702" s="34"/>
      <c r="AI702" s="34"/>
      <c r="AJ702" s="34"/>
      <c r="AK702" s="34"/>
      <c r="AL702" s="34"/>
      <c r="AM702" s="34"/>
      <c r="AN702" s="34"/>
      <c r="AO702" s="34"/>
      <c r="AP702" s="34"/>
      <c r="AQ702" s="34"/>
      <c r="AR702" s="34"/>
      <c r="AS702" s="34"/>
      <c r="AT702" s="34"/>
      <c r="AU702" s="34"/>
      <c r="AV702" s="34"/>
      <c r="AW702" s="34"/>
      <c r="AX702" s="34"/>
      <c r="AY702" s="34"/>
      <c r="AZ702" s="34"/>
    </row>
    <row r="703" spans="1:52" x14ac:dyDescent="0.2">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c r="AF703" s="34"/>
      <c r="AG703" s="34"/>
      <c r="AH703" s="34"/>
      <c r="AI703" s="34"/>
      <c r="AJ703" s="34"/>
      <c r="AK703" s="34"/>
      <c r="AL703" s="34"/>
      <c r="AM703" s="34"/>
      <c r="AN703" s="34"/>
      <c r="AO703" s="34"/>
      <c r="AP703" s="34"/>
      <c r="AQ703" s="34"/>
      <c r="AR703" s="34"/>
      <c r="AS703" s="34"/>
      <c r="AT703" s="34"/>
      <c r="AU703" s="34"/>
      <c r="AV703" s="34"/>
      <c r="AW703" s="34"/>
      <c r="AX703" s="34"/>
      <c r="AY703" s="34"/>
      <c r="AZ703" s="34"/>
    </row>
    <row r="704" spans="1:52" x14ac:dyDescent="0.2">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c r="AF704" s="34"/>
      <c r="AG704" s="34"/>
      <c r="AH704" s="34"/>
      <c r="AI704" s="34"/>
      <c r="AJ704" s="34"/>
      <c r="AK704" s="34"/>
      <c r="AL704" s="34"/>
      <c r="AM704" s="34"/>
      <c r="AN704" s="34"/>
      <c r="AO704" s="34"/>
      <c r="AP704" s="34"/>
      <c r="AQ704" s="34"/>
      <c r="AR704" s="34"/>
      <c r="AS704" s="34"/>
      <c r="AT704" s="34"/>
      <c r="AU704" s="34"/>
      <c r="AV704" s="34"/>
      <c r="AW704" s="34"/>
      <c r="AX704" s="34"/>
      <c r="AY704" s="34"/>
      <c r="AZ704" s="34"/>
    </row>
    <row r="705" spans="1:52" x14ac:dyDescent="0.2">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c r="AF705" s="34"/>
      <c r="AG705" s="34"/>
      <c r="AH705" s="34"/>
      <c r="AI705" s="34"/>
      <c r="AJ705" s="34"/>
      <c r="AK705" s="34"/>
      <c r="AL705" s="34"/>
      <c r="AM705" s="34"/>
      <c r="AN705" s="34"/>
      <c r="AO705" s="34"/>
      <c r="AP705" s="34"/>
      <c r="AQ705" s="34"/>
      <c r="AR705" s="34"/>
      <c r="AS705" s="34"/>
      <c r="AT705" s="34"/>
      <c r="AU705" s="34"/>
      <c r="AV705" s="34"/>
      <c r="AW705" s="34"/>
      <c r="AX705" s="34"/>
      <c r="AY705" s="34"/>
      <c r="AZ705" s="34"/>
    </row>
    <row r="706" spans="1:52" x14ac:dyDescent="0.2">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c r="AF706" s="34"/>
      <c r="AG706" s="34"/>
      <c r="AH706" s="34"/>
      <c r="AI706" s="34"/>
      <c r="AJ706" s="34"/>
      <c r="AK706" s="34"/>
      <c r="AL706" s="34"/>
      <c r="AM706" s="34"/>
      <c r="AN706" s="34"/>
      <c r="AO706" s="34"/>
      <c r="AP706" s="34"/>
      <c r="AQ706" s="34"/>
      <c r="AR706" s="34"/>
      <c r="AS706" s="34"/>
      <c r="AT706" s="34"/>
      <c r="AU706" s="34"/>
      <c r="AV706" s="34"/>
      <c r="AW706" s="34"/>
      <c r="AX706" s="34"/>
      <c r="AY706" s="34"/>
      <c r="AZ706" s="34"/>
    </row>
    <row r="707" spans="1:52" x14ac:dyDescent="0.2">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c r="AF707" s="34"/>
      <c r="AG707" s="34"/>
      <c r="AH707" s="34"/>
      <c r="AI707" s="34"/>
      <c r="AJ707" s="34"/>
      <c r="AK707" s="34"/>
      <c r="AL707" s="34"/>
      <c r="AM707" s="34"/>
      <c r="AN707" s="34"/>
      <c r="AO707" s="34"/>
      <c r="AP707" s="34"/>
      <c r="AQ707" s="34"/>
      <c r="AR707" s="34"/>
      <c r="AS707" s="34"/>
      <c r="AT707" s="34"/>
      <c r="AU707" s="34"/>
      <c r="AV707" s="34"/>
      <c r="AW707" s="34"/>
      <c r="AX707" s="34"/>
      <c r="AY707" s="34"/>
      <c r="AZ707" s="34"/>
    </row>
    <row r="708" spans="1:52" x14ac:dyDescent="0.2">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c r="AF708" s="34"/>
      <c r="AG708" s="34"/>
      <c r="AH708" s="34"/>
      <c r="AI708" s="34"/>
      <c r="AJ708" s="34"/>
      <c r="AK708" s="34"/>
      <c r="AL708" s="34"/>
      <c r="AM708" s="34"/>
      <c r="AN708" s="34"/>
      <c r="AO708" s="34"/>
      <c r="AP708" s="34"/>
      <c r="AQ708" s="34"/>
      <c r="AR708" s="34"/>
      <c r="AS708" s="34"/>
      <c r="AT708" s="34"/>
      <c r="AU708" s="34"/>
      <c r="AV708" s="34"/>
      <c r="AW708" s="34"/>
      <c r="AX708" s="34"/>
      <c r="AY708" s="34"/>
      <c r="AZ708" s="34"/>
    </row>
    <row r="709" spans="1:52" x14ac:dyDescent="0.2">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c r="AF709" s="34"/>
      <c r="AG709" s="34"/>
      <c r="AH709" s="34"/>
      <c r="AI709" s="34"/>
      <c r="AJ709" s="34"/>
      <c r="AK709" s="34"/>
      <c r="AL709" s="34"/>
      <c r="AM709" s="34"/>
      <c r="AN709" s="34"/>
      <c r="AO709" s="34"/>
      <c r="AP709" s="34"/>
      <c r="AQ709" s="34"/>
      <c r="AR709" s="34"/>
      <c r="AS709" s="34"/>
      <c r="AT709" s="34"/>
      <c r="AU709" s="34"/>
      <c r="AV709" s="34"/>
      <c r="AW709" s="34"/>
      <c r="AX709" s="34"/>
      <c r="AY709" s="34"/>
      <c r="AZ709" s="34"/>
    </row>
    <row r="710" spans="1:52" x14ac:dyDescent="0.2">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c r="AF710" s="34"/>
      <c r="AG710" s="34"/>
      <c r="AH710" s="34"/>
      <c r="AI710" s="34"/>
      <c r="AJ710" s="34"/>
      <c r="AK710" s="34"/>
      <c r="AL710" s="34"/>
      <c r="AM710" s="34"/>
      <c r="AN710" s="34"/>
      <c r="AO710" s="34"/>
      <c r="AP710" s="34"/>
      <c r="AQ710" s="34"/>
      <c r="AR710" s="34"/>
      <c r="AS710" s="34"/>
      <c r="AT710" s="34"/>
      <c r="AU710" s="34"/>
      <c r="AV710" s="34"/>
      <c r="AW710" s="34"/>
      <c r="AX710" s="34"/>
      <c r="AY710" s="34"/>
      <c r="AZ710" s="34"/>
    </row>
    <row r="711" spans="1:52" x14ac:dyDescent="0.2">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c r="AF711" s="34"/>
      <c r="AG711" s="34"/>
      <c r="AH711" s="34"/>
      <c r="AI711" s="34"/>
      <c r="AJ711" s="34"/>
      <c r="AK711" s="34"/>
      <c r="AL711" s="34"/>
      <c r="AM711" s="34"/>
      <c r="AN711" s="34"/>
      <c r="AO711" s="34"/>
      <c r="AP711" s="34"/>
      <c r="AQ711" s="34"/>
      <c r="AR711" s="34"/>
      <c r="AS711" s="34"/>
      <c r="AT711" s="34"/>
      <c r="AU711" s="34"/>
      <c r="AV711" s="34"/>
      <c r="AW711" s="34"/>
      <c r="AX711" s="34"/>
      <c r="AY711" s="34"/>
      <c r="AZ711" s="34"/>
    </row>
    <row r="712" spans="1:52" x14ac:dyDescent="0.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c r="AF712" s="34"/>
      <c r="AG712" s="34"/>
      <c r="AH712" s="34"/>
      <c r="AI712" s="34"/>
      <c r="AJ712" s="34"/>
      <c r="AK712" s="34"/>
      <c r="AL712" s="34"/>
      <c r="AM712" s="34"/>
      <c r="AN712" s="34"/>
      <c r="AO712" s="34"/>
      <c r="AP712" s="34"/>
      <c r="AQ712" s="34"/>
      <c r="AR712" s="34"/>
      <c r="AS712" s="34"/>
      <c r="AT712" s="34"/>
      <c r="AU712" s="34"/>
      <c r="AV712" s="34"/>
      <c r="AW712" s="34"/>
      <c r="AX712" s="34"/>
      <c r="AY712" s="34"/>
      <c r="AZ712" s="34"/>
    </row>
    <row r="713" spans="1:52" x14ac:dyDescent="0.2">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row>
    <row r="714" spans="1:52" x14ac:dyDescent="0.2">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c r="AF714" s="34"/>
      <c r="AG714" s="34"/>
      <c r="AH714" s="34"/>
      <c r="AI714" s="34"/>
      <c r="AJ714" s="34"/>
      <c r="AK714" s="34"/>
      <c r="AL714" s="34"/>
      <c r="AM714" s="34"/>
      <c r="AN714" s="34"/>
      <c r="AO714" s="34"/>
      <c r="AP714" s="34"/>
      <c r="AQ714" s="34"/>
      <c r="AR714" s="34"/>
      <c r="AS714" s="34"/>
      <c r="AT714" s="34"/>
      <c r="AU714" s="34"/>
      <c r="AV714" s="34"/>
      <c r="AW714" s="34"/>
      <c r="AX714" s="34"/>
      <c r="AY714" s="34"/>
      <c r="AZ714" s="34"/>
    </row>
    <row r="715" spans="1:52" x14ac:dyDescent="0.2">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c r="AF715" s="34"/>
      <c r="AG715" s="34"/>
      <c r="AH715" s="34"/>
      <c r="AI715" s="34"/>
      <c r="AJ715" s="34"/>
      <c r="AK715" s="34"/>
      <c r="AL715" s="34"/>
      <c r="AM715" s="34"/>
      <c r="AN715" s="34"/>
      <c r="AO715" s="34"/>
      <c r="AP715" s="34"/>
      <c r="AQ715" s="34"/>
      <c r="AR715" s="34"/>
      <c r="AS715" s="34"/>
      <c r="AT715" s="34"/>
      <c r="AU715" s="34"/>
      <c r="AV715" s="34"/>
      <c r="AW715" s="34"/>
      <c r="AX715" s="34"/>
      <c r="AY715" s="34"/>
      <c r="AZ715" s="34"/>
    </row>
    <row r="716" spans="1:52" x14ac:dyDescent="0.2">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c r="AF716" s="34"/>
      <c r="AG716" s="34"/>
      <c r="AH716" s="34"/>
      <c r="AI716" s="34"/>
      <c r="AJ716" s="34"/>
      <c r="AK716" s="34"/>
      <c r="AL716" s="34"/>
      <c r="AM716" s="34"/>
      <c r="AN716" s="34"/>
      <c r="AO716" s="34"/>
      <c r="AP716" s="34"/>
      <c r="AQ716" s="34"/>
      <c r="AR716" s="34"/>
      <c r="AS716" s="34"/>
      <c r="AT716" s="34"/>
      <c r="AU716" s="34"/>
      <c r="AV716" s="34"/>
      <c r="AW716" s="34"/>
      <c r="AX716" s="34"/>
      <c r="AY716" s="34"/>
      <c r="AZ716" s="34"/>
    </row>
    <row r="717" spans="1:52" x14ac:dyDescent="0.2">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c r="AF717" s="34"/>
      <c r="AG717" s="34"/>
      <c r="AH717" s="34"/>
      <c r="AI717" s="34"/>
      <c r="AJ717" s="34"/>
      <c r="AK717" s="34"/>
      <c r="AL717" s="34"/>
      <c r="AM717" s="34"/>
      <c r="AN717" s="34"/>
      <c r="AO717" s="34"/>
      <c r="AP717" s="34"/>
      <c r="AQ717" s="34"/>
      <c r="AR717" s="34"/>
      <c r="AS717" s="34"/>
      <c r="AT717" s="34"/>
      <c r="AU717" s="34"/>
      <c r="AV717" s="34"/>
      <c r="AW717" s="34"/>
      <c r="AX717" s="34"/>
      <c r="AY717" s="34"/>
      <c r="AZ717" s="34"/>
    </row>
    <row r="718" spans="1:52" x14ac:dyDescent="0.2">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c r="AF718" s="34"/>
      <c r="AG718" s="34"/>
      <c r="AH718" s="34"/>
      <c r="AI718" s="34"/>
      <c r="AJ718" s="34"/>
      <c r="AK718" s="34"/>
      <c r="AL718" s="34"/>
      <c r="AM718" s="34"/>
      <c r="AN718" s="34"/>
      <c r="AO718" s="34"/>
      <c r="AP718" s="34"/>
      <c r="AQ718" s="34"/>
      <c r="AR718" s="34"/>
      <c r="AS718" s="34"/>
      <c r="AT718" s="34"/>
      <c r="AU718" s="34"/>
      <c r="AV718" s="34"/>
      <c r="AW718" s="34"/>
      <c r="AX718" s="34"/>
      <c r="AY718" s="34"/>
      <c r="AZ718" s="34"/>
    </row>
    <row r="719" spans="1:52" x14ac:dyDescent="0.2">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c r="AF719" s="34"/>
      <c r="AG719" s="34"/>
      <c r="AH719" s="34"/>
      <c r="AI719" s="34"/>
      <c r="AJ719" s="34"/>
      <c r="AK719" s="34"/>
      <c r="AL719" s="34"/>
      <c r="AM719" s="34"/>
      <c r="AN719" s="34"/>
      <c r="AO719" s="34"/>
      <c r="AP719" s="34"/>
      <c r="AQ719" s="34"/>
      <c r="AR719" s="34"/>
      <c r="AS719" s="34"/>
      <c r="AT719" s="34"/>
      <c r="AU719" s="34"/>
      <c r="AV719" s="34"/>
      <c r="AW719" s="34"/>
      <c r="AX719" s="34"/>
      <c r="AY719" s="34"/>
      <c r="AZ719" s="34"/>
    </row>
    <row r="720" spans="1:52" x14ac:dyDescent="0.2">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c r="AF720" s="34"/>
      <c r="AG720" s="34"/>
      <c r="AH720" s="34"/>
      <c r="AI720" s="34"/>
      <c r="AJ720" s="34"/>
      <c r="AK720" s="34"/>
      <c r="AL720" s="34"/>
      <c r="AM720" s="34"/>
      <c r="AN720" s="34"/>
      <c r="AO720" s="34"/>
      <c r="AP720" s="34"/>
      <c r="AQ720" s="34"/>
      <c r="AR720" s="34"/>
      <c r="AS720" s="34"/>
      <c r="AT720" s="34"/>
      <c r="AU720" s="34"/>
      <c r="AV720" s="34"/>
      <c r="AW720" s="34"/>
      <c r="AX720" s="34"/>
      <c r="AY720" s="34"/>
      <c r="AZ720" s="34"/>
    </row>
    <row r="721" spans="1:52" x14ac:dyDescent="0.2">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row>
    <row r="722" spans="1:52" x14ac:dyDescent="0.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c r="AF722" s="34"/>
      <c r="AG722" s="34"/>
      <c r="AH722" s="34"/>
      <c r="AI722" s="34"/>
      <c r="AJ722" s="34"/>
      <c r="AK722" s="34"/>
      <c r="AL722" s="34"/>
      <c r="AM722" s="34"/>
      <c r="AN722" s="34"/>
      <c r="AO722" s="34"/>
      <c r="AP722" s="34"/>
      <c r="AQ722" s="34"/>
      <c r="AR722" s="34"/>
      <c r="AS722" s="34"/>
      <c r="AT722" s="34"/>
      <c r="AU722" s="34"/>
      <c r="AV722" s="34"/>
      <c r="AW722" s="34"/>
      <c r="AX722" s="34"/>
      <c r="AY722" s="34"/>
      <c r="AZ722" s="34"/>
    </row>
    <row r="723" spans="1:52" x14ac:dyDescent="0.2">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c r="AF723" s="34"/>
      <c r="AG723" s="34"/>
      <c r="AH723" s="34"/>
      <c r="AI723" s="34"/>
      <c r="AJ723" s="34"/>
      <c r="AK723" s="34"/>
      <c r="AL723" s="34"/>
      <c r="AM723" s="34"/>
      <c r="AN723" s="34"/>
      <c r="AO723" s="34"/>
      <c r="AP723" s="34"/>
      <c r="AQ723" s="34"/>
      <c r="AR723" s="34"/>
      <c r="AS723" s="34"/>
      <c r="AT723" s="34"/>
      <c r="AU723" s="34"/>
      <c r="AV723" s="34"/>
      <c r="AW723" s="34"/>
      <c r="AX723" s="34"/>
      <c r="AY723" s="34"/>
      <c r="AZ723" s="34"/>
    </row>
    <row r="724" spans="1:52" x14ac:dyDescent="0.2">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c r="AF724" s="34"/>
      <c r="AG724" s="34"/>
      <c r="AH724" s="34"/>
      <c r="AI724" s="34"/>
      <c r="AJ724" s="34"/>
      <c r="AK724" s="34"/>
      <c r="AL724" s="34"/>
      <c r="AM724" s="34"/>
      <c r="AN724" s="34"/>
      <c r="AO724" s="34"/>
      <c r="AP724" s="34"/>
      <c r="AQ724" s="34"/>
      <c r="AR724" s="34"/>
      <c r="AS724" s="34"/>
      <c r="AT724" s="34"/>
      <c r="AU724" s="34"/>
      <c r="AV724" s="34"/>
      <c r="AW724" s="34"/>
      <c r="AX724" s="34"/>
      <c r="AY724" s="34"/>
      <c r="AZ724" s="34"/>
    </row>
    <row r="725" spans="1:52" x14ac:dyDescent="0.2">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c r="AF725" s="34"/>
      <c r="AG725" s="34"/>
      <c r="AH725" s="34"/>
      <c r="AI725" s="34"/>
      <c r="AJ725" s="34"/>
      <c r="AK725" s="34"/>
      <c r="AL725" s="34"/>
      <c r="AM725" s="34"/>
      <c r="AN725" s="34"/>
      <c r="AO725" s="34"/>
      <c r="AP725" s="34"/>
      <c r="AQ725" s="34"/>
      <c r="AR725" s="34"/>
      <c r="AS725" s="34"/>
      <c r="AT725" s="34"/>
      <c r="AU725" s="34"/>
      <c r="AV725" s="34"/>
      <c r="AW725" s="34"/>
      <c r="AX725" s="34"/>
      <c r="AY725" s="34"/>
      <c r="AZ725" s="34"/>
    </row>
    <row r="726" spans="1:52" x14ac:dyDescent="0.2">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c r="AF726" s="34"/>
      <c r="AG726" s="34"/>
      <c r="AH726" s="34"/>
      <c r="AI726" s="34"/>
      <c r="AJ726" s="34"/>
      <c r="AK726" s="34"/>
      <c r="AL726" s="34"/>
      <c r="AM726" s="34"/>
      <c r="AN726" s="34"/>
      <c r="AO726" s="34"/>
      <c r="AP726" s="34"/>
      <c r="AQ726" s="34"/>
      <c r="AR726" s="34"/>
      <c r="AS726" s="34"/>
      <c r="AT726" s="34"/>
      <c r="AU726" s="34"/>
      <c r="AV726" s="34"/>
      <c r="AW726" s="34"/>
      <c r="AX726" s="34"/>
      <c r="AY726" s="34"/>
      <c r="AZ726" s="34"/>
    </row>
    <row r="727" spans="1:52" x14ac:dyDescent="0.2">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c r="AF727" s="34"/>
      <c r="AG727" s="34"/>
      <c r="AH727" s="34"/>
      <c r="AI727" s="34"/>
      <c r="AJ727" s="34"/>
      <c r="AK727" s="34"/>
      <c r="AL727" s="34"/>
      <c r="AM727" s="34"/>
      <c r="AN727" s="34"/>
      <c r="AO727" s="34"/>
      <c r="AP727" s="34"/>
      <c r="AQ727" s="34"/>
      <c r="AR727" s="34"/>
      <c r="AS727" s="34"/>
      <c r="AT727" s="34"/>
      <c r="AU727" s="34"/>
      <c r="AV727" s="34"/>
      <c r="AW727" s="34"/>
      <c r="AX727" s="34"/>
      <c r="AY727" s="34"/>
      <c r="AZ727" s="34"/>
    </row>
    <row r="728" spans="1:52" x14ac:dyDescent="0.2">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c r="AF728" s="34"/>
      <c r="AG728" s="34"/>
      <c r="AH728" s="34"/>
      <c r="AI728" s="34"/>
      <c r="AJ728" s="34"/>
      <c r="AK728" s="34"/>
      <c r="AL728" s="34"/>
      <c r="AM728" s="34"/>
      <c r="AN728" s="34"/>
      <c r="AO728" s="34"/>
      <c r="AP728" s="34"/>
      <c r="AQ728" s="34"/>
      <c r="AR728" s="34"/>
      <c r="AS728" s="34"/>
      <c r="AT728" s="34"/>
      <c r="AU728" s="34"/>
      <c r="AV728" s="34"/>
      <c r="AW728" s="34"/>
      <c r="AX728" s="34"/>
      <c r="AY728" s="34"/>
      <c r="AZ728" s="34"/>
    </row>
    <row r="729" spans="1:52" x14ac:dyDescent="0.2">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c r="AF729" s="34"/>
      <c r="AG729" s="34"/>
      <c r="AH729" s="34"/>
      <c r="AI729" s="34"/>
      <c r="AJ729" s="34"/>
      <c r="AK729" s="34"/>
      <c r="AL729" s="34"/>
      <c r="AM729" s="34"/>
      <c r="AN729" s="34"/>
      <c r="AO729" s="34"/>
      <c r="AP729" s="34"/>
      <c r="AQ729" s="34"/>
      <c r="AR729" s="34"/>
      <c r="AS729" s="34"/>
      <c r="AT729" s="34"/>
      <c r="AU729" s="34"/>
      <c r="AV729" s="34"/>
      <c r="AW729" s="34"/>
      <c r="AX729" s="34"/>
      <c r="AY729" s="34"/>
      <c r="AZ729" s="34"/>
    </row>
    <row r="730" spans="1:52" x14ac:dyDescent="0.2">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c r="AF730" s="34"/>
      <c r="AG730" s="34"/>
      <c r="AH730" s="34"/>
      <c r="AI730" s="34"/>
      <c r="AJ730" s="34"/>
      <c r="AK730" s="34"/>
      <c r="AL730" s="34"/>
      <c r="AM730" s="34"/>
      <c r="AN730" s="34"/>
      <c r="AO730" s="34"/>
      <c r="AP730" s="34"/>
      <c r="AQ730" s="34"/>
      <c r="AR730" s="34"/>
      <c r="AS730" s="34"/>
      <c r="AT730" s="34"/>
      <c r="AU730" s="34"/>
      <c r="AV730" s="34"/>
      <c r="AW730" s="34"/>
      <c r="AX730" s="34"/>
      <c r="AY730" s="34"/>
      <c r="AZ730" s="34"/>
    </row>
    <row r="731" spans="1:52" x14ac:dyDescent="0.2">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c r="AF731" s="34"/>
      <c r="AG731" s="34"/>
      <c r="AH731" s="34"/>
      <c r="AI731" s="34"/>
      <c r="AJ731" s="34"/>
      <c r="AK731" s="34"/>
      <c r="AL731" s="34"/>
      <c r="AM731" s="34"/>
      <c r="AN731" s="34"/>
      <c r="AO731" s="34"/>
      <c r="AP731" s="34"/>
      <c r="AQ731" s="34"/>
      <c r="AR731" s="34"/>
      <c r="AS731" s="34"/>
      <c r="AT731" s="34"/>
      <c r="AU731" s="34"/>
      <c r="AV731" s="34"/>
      <c r="AW731" s="34"/>
      <c r="AX731" s="34"/>
      <c r="AY731" s="34"/>
      <c r="AZ731" s="34"/>
    </row>
    <row r="732" spans="1:52" x14ac:dyDescent="0.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c r="AF732" s="34"/>
      <c r="AG732" s="34"/>
      <c r="AH732" s="34"/>
      <c r="AI732" s="34"/>
      <c r="AJ732" s="34"/>
      <c r="AK732" s="34"/>
      <c r="AL732" s="34"/>
      <c r="AM732" s="34"/>
      <c r="AN732" s="34"/>
      <c r="AO732" s="34"/>
      <c r="AP732" s="34"/>
      <c r="AQ732" s="34"/>
      <c r="AR732" s="34"/>
      <c r="AS732" s="34"/>
      <c r="AT732" s="34"/>
      <c r="AU732" s="34"/>
      <c r="AV732" s="34"/>
      <c r="AW732" s="34"/>
      <c r="AX732" s="34"/>
      <c r="AY732" s="34"/>
      <c r="AZ732" s="34"/>
    </row>
    <row r="733" spans="1:52" x14ac:dyDescent="0.2">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c r="AF733" s="34"/>
      <c r="AG733" s="34"/>
      <c r="AH733" s="34"/>
      <c r="AI733" s="34"/>
      <c r="AJ733" s="34"/>
      <c r="AK733" s="34"/>
      <c r="AL733" s="34"/>
      <c r="AM733" s="34"/>
      <c r="AN733" s="34"/>
      <c r="AO733" s="34"/>
      <c r="AP733" s="34"/>
      <c r="AQ733" s="34"/>
      <c r="AR733" s="34"/>
      <c r="AS733" s="34"/>
      <c r="AT733" s="34"/>
      <c r="AU733" s="34"/>
      <c r="AV733" s="34"/>
      <c r="AW733" s="34"/>
      <c r="AX733" s="34"/>
      <c r="AY733" s="34"/>
      <c r="AZ733" s="34"/>
    </row>
    <row r="734" spans="1:52" x14ac:dyDescent="0.2">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c r="AF734" s="34"/>
      <c r="AG734" s="34"/>
      <c r="AH734" s="34"/>
      <c r="AI734" s="34"/>
      <c r="AJ734" s="34"/>
      <c r="AK734" s="34"/>
      <c r="AL734" s="34"/>
      <c r="AM734" s="34"/>
      <c r="AN734" s="34"/>
      <c r="AO734" s="34"/>
      <c r="AP734" s="34"/>
      <c r="AQ734" s="34"/>
      <c r="AR734" s="34"/>
      <c r="AS734" s="34"/>
      <c r="AT734" s="34"/>
      <c r="AU734" s="34"/>
      <c r="AV734" s="34"/>
      <c r="AW734" s="34"/>
      <c r="AX734" s="34"/>
      <c r="AY734" s="34"/>
      <c r="AZ734" s="34"/>
    </row>
    <row r="735" spans="1:52" x14ac:dyDescent="0.2">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c r="AF735" s="34"/>
      <c r="AG735" s="34"/>
      <c r="AH735" s="34"/>
      <c r="AI735" s="34"/>
      <c r="AJ735" s="34"/>
      <c r="AK735" s="34"/>
      <c r="AL735" s="34"/>
      <c r="AM735" s="34"/>
      <c r="AN735" s="34"/>
      <c r="AO735" s="34"/>
      <c r="AP735" s="34"/>
      <c r="AQ735" s="34"/>
      <c r="AR735" s="34"/>
      <c r="AS735" s="34"/>
      <c r="AT735" s="34"/>
      <c r="AU735" s="34"/>
      <c r="AV735" s="34"/>
      <c r="AW735" s="34"/>
      <c r="AX735" s="34"/>
      <c r="AY735" s="34"/>
      <c r="AZ735" s="34"/>
    </row>
    <row r="736" spans="1:52" x14ac:dyDescent="0.2">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c r="AF736" s="34"/>
      <c r="AG736" s="34"/>
      <c r="AH736" s="34"/>
      <c r="AI736" s="34"/>
      <c r="AJ736" s="34"/>
      <c r="AK736" s="34"/>
      <c r="AL736" s="34"/>
      <c r="AM736" s="34"/>
      <c r="AN736" s="34"/>
      <c r="AO736" s="34"/>
      <c r="AP736" s="34"/>
      <c r="AQ736" s="34"/>
      <c r="AR736" s="34"/>
      <c r="AS736" s="34"/>
      <c r="AT736" s="34"/>
      <c r="AU736" s="34"/>
      <c r="AV736" s="34"/>
      <c r="AW736" s="34"/>
      <c r="AX736" s="34"/>
      <c r="AY736" s="34"/>
      <c r="AZ736" s="34"/>
    </row>
    <row r="737" spans="1:52" x14ac:dyDescent="0.2">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c r="AF737" s="34"/>
      <c r="AG737" s="34"/>
      <c r="AH737" s="34"/>
      <c r="AI737" s="34"/>
      <c r="AJ737" s="34"/>
      <c r="AK737" s="34"/>
      <c r="AL737" s="34"/>
      <c r="AM737" s="34"/>
      <c r="AN737" s="34"/>
      <c r="AO737" s="34"/>
      <c r="AP737" s="34"/>
      <c r="AQ737" s="34"/>
      <c r="AR737" s="34"/>
      <c r="AS737" s="34"/>
      <c r="AT737" s="34"/>
      <c r="AU737" s="34"/>
      <c r="AV737" s="34"/>
      <c r="AW737" s="34"/>
      <c r="AX737" s="34"/>
      <c r="AY737" s="34"/>
      <c r="AZ737" s="34"/>
    </row>
    <row r="738" spans="1:52" x14ac:dyDescent="0.2">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c r="AF738" s="34"/>
      <c r="AG738" s="34"/>
      <c r="AH738" s="34"/>
      <c r="AI738" s="34"/>
      <c r="AJ738" s="34"/>
      <c r="AK738" s="34"/>
      <c r="AL738" s="34"/>
      <c r="AM738" s="34"/>
      <c r="AN738" s="34"/>
      <c r="AO738" s="34"/>
      <c r="AP738" s="34"/>
      <c r="AQ738" s="34"/>
      <c r="AR738" s="34"/>
      <c r="AS738" s="34"/>
      <c r="AT738" s="34"/>
      <c r="AU738" s="34"/>
      <c r="AV738" s="34"/>
      <c r="AW738" s="34"/>
      <c r="AX738" s="34"/>
      <c r="AY738" s="34"/>
      <c r="AZ738" s="34"/>
    </row>
    <row r="739" spans="1:52" x14ac:dyDescent="0.2">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c r="AF739" s="34"/>
      <c r="AG739" s="34"/>
      <c r="AH739" s="34"/>
      <c r="AI739" s="34"/>
      <c r="AJ739" s="34"/>
      <c r="AK739" s="34"/>
      <c r="AL739" s="34"/>
      <c r="AM739" s="34"/>
      <c r="AN739" s="34"/>
      <c r="AO739" s="34"/>
      <c r="AP739" s="34"/>
      <c r="AQ739" s="34"/>
      <c r="AR739" s="34"/>
      <c r="AS739" s="34"/>
      <c r="AT739" s="34"/>
      <c r="AU739" s="34"/>
      <c r="AV739" s="34"/>
      <c r="AW739" s="34"/>
      <c r="AX739" s="34"/>
      <c r="AY739" s="34"/>
      <c r="AZ739" s="34"/>
    </row>
    <row r="740" spans="1:52" x14ac:dyDescent="0.2">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c r="AF740" s="34"/>
      <c r="AG740" s="34"/>
      <c r="AH740" s="34"/>
      <c r="AI740" s="34"/>
      <c r="AJ740" s="34"/>
      <c r="AK740" s="34"/>
      <c r="AL740" s="34"/>
      <c r="AM740" s="34"/>
      <c r="AN740" s="34"/>
      <c r="AO740" s="34"/>
      <c r="AP740" s="34"/>
      <c r="AQ740" s="34"/>
      <c r="AR740" s="34"/>
      <c r="AS740" s="34"/>
      <c r="AT740" s="34"/>
      <c r="AU740" s="34"/>
      <c r="AV740" s="34"/>
      <c r="AW740" s="34"/>
      <c r="AX740" s="34"/>
      <c r="AY740" s="34"/>
      <c r="AZ740" s="34"/>
    </row>
    <row r="741" spans="1:52" x14ac:dyDescent="0.2">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c r="AF741" s="34"/>
      <c r="AG741" s="34"/>
      <c r="AH741" s="34"/>
      <c r="AI741" s="34"/>
      <c r="AJ741" s="34"/>
      <c r="AK741" s="34"/>
      <c r="AL741" s="34"/>
      <c r="AM741" s="34"/>
      <c r="AN741" s="34"/>
      <c r="AO741" s="34"/>
      <c r="AP741" s="34"/>
      <c r="AQ741" s="34"/>
      <c r="AR741" s="34"/>
      <c r="AS741" s="34"/>
      <c r="AT741" s="34"/>
      <c r="AU741" s="34"/>
      <c r="AV741" s="34"/>
      <c r="AW741" s="34"/>
      <c r="AX741" s="34"/>
      <c r="AY741" s="34"/>
      <c r="AZ741" s="34"/>
    </row>
    <row r="742" spans="1:52" x14ac:dyDescent="0.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c r="AF742" s="34"/>
      <c r="AG742" s="34"/>
      <c r="AH742" s="34"/>
      <c r="AI742" s="34"/>
      <c r="AJ742" s="34"/>
      <c r="AK742" s="34"/>
      <c r="AL742" s="34"/>
      <c r="AM742" s="34"/>
      <c r="AN742" s="34"/>
      <c r="AO742" s="34"/>
      <c r="AP742" s="34"/>
      <c r="AQ742" s="34"/>
      <c r="AR742" s="34"/>
      <c r="AS742" s="34"/>
      <c r="AT742" s="34"/>
      <c r="AU742" s="34"/>
      <c r="AV742" s="34"/>
      <c r="AW742" s="34"/>
      <c r="AX742" s="34"/>
      <c r="AY742" s="34"/>
      <c r="AZ742" s="34"/>
    </row>
    <row r="743" spans="1:52" x14ac:dyDescent="0.2">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O743" s="34"/>
      <c r="AP743" s="34"/>
      <c r="AQ743" s="34"/>
      <c r="AR743" s="34"/>
      <c r="AS743" s="34"/>
      <c r="AT743" s="34"/>
      <c r="AU743" s="34"/>
      <c r="AV743" s="34"/>
      <c r="AW743" s="34"/>
      <c r="AX743" s="34"/>
      <c r="AY743" s="34"/>
      <c r="AZ743" s="34"/>
    </row>
    <row r="744" spans="1:52" x14ac:dyDescent="0.2">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O744" s="34"/>
      <c r="AP744" s="34"/>
      <c r="AQ744" s="34"/>
      <c r="AR744" s="34"/>
      <c r="AS744" s="34"/>
      <c r="AT744" s="34"/>
      <c r="AU744" s="34"/>
      <c r="AV744" s="34"/>
      <c r="AW744" s="34"/>
      <c r="AX744" s="34"/>
      <c r="AY744" s="34"/>
      <c r="AZ744" s="34"/>
    </row>
    <row r="745" spans="1:52" x14ac:dyDescent="0.2">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O745" s="34"/>
      <c r="AP745" s="34"/>
      <c r="AQ745" s="34"/>
      <c r="AR745" s="34"/>
      <c r="AS745" s="34"/>
      <c r="AT745" s="34"/>
      <c r="AU745" s="34"/>
      <c r="AV745" s="34"/>
      <c r="AW745" s="34"/>
      <c r="AX745" s="34"/>
      <c r="AY745" s="34"/>
      <c r="AZ745" s="34"/>
    </row>
    <row r="746" spans="1:52" x14ac:dyDescent="0.2">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O746" s="34"/>
      <c r="AP746" s="34"/>
      <c r="AQ746" s="34"/>
      <c r="AR746" s="34"/>
      <c r="AS746" s="34"/>
      <c r="AT746" s="34"/>
      <c r="AU746" s="34"/>
      <c r="AV746" s="34"/>
      <c r="AW746" s="34"/>
      <c r="AX746" s="34"/>
      <c r="AY746" s="34"/>
      <c r="AZ746" s="34"/>
    </row>
    <row r="747" spans="1:52" x14ac:dyDescent="0.2">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O747" s="34"/>
      <c r="AP747" s="34"/>
      <c r="AQ747" s="34"/>
      <c r="AR747" s="34"/>
      <c r="AS747" s="34"/>
      <c r="AT747" s="34"/>
      <c r="AU747" s="34"/>
      <c r="AV747" s="34"/>
      <c r="AW747" s="34"/>
      <c r="AX747" s="34"/>
      <c r="AY747" s="34"/>
      <c r="AZ747" s="34"/>
    </row>
    <row r="748" spans="1:52" x14ac:dyDescent="0.2">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O748" s="34"/>
      <c r="AP748" s="34"/>
      <c r="AQ748" s="34"/>
      <c r="AR748" s="34"/>
      <c r="AS748" s="34"/>
      <c r="AT748" s="34"/>
      <c r="AU748" s="34"/>
      <c r="AV748" s="34"/>
      <c r="AW748" s="34"/>
      <c r="AX748" s="34"/>
      <c r="AY748" s="34"/>
      <c r="AZ748" s="34"/>
    </row>
    <row r="749" spans="1:52" x14ac:dyDescent="0.2">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O749" s="34"/>
      <c r="AP749" s="34"/>
      <c r="AQ749" s="34"/>
      <c r="AR749" s="34"/>
      <c r="AS749" s="34"/>
      <c r="AT749" s="34"/>
      <c r="AU749" s="34"/>
      <c r="AV749" s="34"/>
      <c r="AW749" s="34"/>
      <c r="AX749" s="34"/>
      <c r="AY749" s="34"/>
      <c r="AZ749" s="34"/>
    </row>
    <row r="750" spans="1:52" x14ac:dyDescent="0.2">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O750" s="34"/>
      <c r="AP750" s="34"/>
      <c r="AQ750" s="34"/>
      <c r="AR750" s="34"/>
      <c r="AS750" s="34"/>
      <c r="AT750" s="34"/>
      <c r="AU750" s="34"/>
      <c r="AV750" s="34"/>
      <c r="AW750" s="34"/>
      <c r="AX750" s="34"/>
      <c r="AY750" s="34"/>
      <c r="AZ750" s="34"/>
    </row>
    <row r="751" spans="1:52" x14ac:dyDescent="0.2">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O751" s="34"/>
      <c r="AP751" s="34"/>
      <c r="AQ751" s="34"/>
      <c r="AR751" s="34"/>
      <c r="AS751" s="34"/>
      <c r="AT751" s="34"/>
      <c r="AU751" s="34"/>
      <c r="AV751" s="34"/>
      <c r="AW751" s="34"/>
      <c r="AX751" s="34"/>
      <c r="AY751" s="34"/>
      <c r="AZ751" s="34"/>
    </row>
    <row r="752" spans="1:52" x14ac:dyDescent="0.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O752" s="34"/>
      <c r="AP752" s="34"/>
      <c r="AQ752" s="34"/>
      <c r="AR752" s="34"/>
      <c r="AS752" s="34"/>
      <c r="AT752" s="34"/>
      <c r="AU752" s="34"/>
      <c r="AV752" s="34"/>
      <c r="AW752" s="34"/>
      <c r="AX752" s="34"/>
      <c r="AY752" s="34"/>
      <c r="AZ752" s="34"/>
    </row>
    <row r="753" spans="1:52" x14ac:dyDescent="0.2">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O753" s="34"/>
      <c r="AP753" s="34"/>
      <c r="AQ753" s="34"/>
      <c r="AR753" s="34"/>
      <c r="AS753" s="34"/>
      <c r="AT753" s="34"/>
      <c r="AU753" s="34"/>
      <c r="AV753" s="34"/>
      <c r="AW753" s="34"/>
      <c r="AX753" s="34"/>
      <c r="AY753" s="34"/>
      <c r="AZ753" s="34"/>
    </row>
    <row r="754" spans="1:52" x14ac:dyDescent="0.2">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O754" s="34"/>
      <c r="AP754" s="34"/>
      <c r="AQ754" s="34"/>
      <c r="AR754" s="34"/>
      <c r="AS754" s="34"/>
      <c r="AT754" s="34"/>
      <c r="AU754" s="34"/>
      <c r="AV754" s="34"/>
      <c r="AW754" s="34"/>
      <c r="AX754" s="34"/>
      <c r="AY754" s="34"/>
      <c r="AZ754" s="34"/>
    </row>
    <row r="755" spans="1:52" x14ac:dyDescent="0.2">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O755" s="34"/>
      <c r="AP755" s="34"/>
      <c r="AQ755" s="34"/>
      <c r="AR755" s="34"/>
      <c r="AS755" s="34"/>
      <c r="AT755" s="34"/>
      <c r="AU755" s="34"/>
      <c r="AV755" s="34"/>
      <c r="AW755" s="34"/>
      <c r="AX755" s="34"/>
      <c r="AY755" s="34"/>
      <c r="AZ755" s="34"/>
    </row>
    <row r="756" spans="1:52" x14ac:dyDescent="0.2">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c r="AF756" s="34"/>
      <c r="AG756" s="34"/>
      <c r="AH756" s="34"/>
      <c r="AI756" s="34"/>
      <c r="AJ756" s="34"/>
      <c r="AK756" s="34"/>
      <c r="AL756" s="34"/>
      <c r="AM756" s="34"/>
      <c r="AN756" s="34"/>
      <c r="AO756" s="34"/>
      <c r="AP756" s="34"/>
      <c r="AQ756" s="34"/>
      <c r="AR756" s="34"/>
      <c r="AS756" s="34"/>
      <c r="AT756" s="34"/>
      <c r="AU756" s="34"/>
      <c r="AV756" s="34"/>
      <c r="AW756" s="34"/>
      <c r="AX756" s="34"/>
      <c r="AY756" s="34"/>
      <c r="AZ756" s="34"/>
    </row>
    <row r="757" spans="1:52" x14ac:dyDescent="0.2">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c r="AT757" s="34"/>
      <c r="AU757" s="34"/>
      <c r="AV757" s="34"/>
      <c r="AW757" s="34"/>
      <c r="AX757" s="34"/>
      <c r="AY757" s="34"/>
      <c r="AZ757" s="34"/>
    </row>
    <row r="758" spans="1:52" x14ac:dyDescent="0.2">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c r="AT758" s="34"/>
      <c r="AU758" s="34"/>
      <c r="AV758" s="34"/>
      <c r="AW758" s="34"/>
      <c r="AX758" s="34"/>
      <c r="AY758" s="34"/>
      <c r="AZ758" s="34"/>
    </row>
    <row r="759" spans="1:52" x14ac:dyDescent="0.2">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c r="AT759" s="34"/>
      <c r="AU759" s="34"/>
      <c r="AV759" s="34"/>
      <c r="AW759" s="34"/>
      <c r="AX759" s="34"/>
      <c r="AY759" s="34"/>
      <c r="AZ759" s="34"/>
    </row>
    <row r="760" spans="1:52" x14ac:dyDescent="0.2">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c r="AT760" s="34"/>
      <c r="AU760" s="34"/>
      <c r="AV760" s="34"/>
      <c r="AW760" s="34"/>
      <c r="AX760" s="34"/>
      <c r="AY760" s="34"/>
      <c r="AZ760" s="34"/>
    </row>
    <row r="761" spans="1:52" x14ac:dyDescent="0.2">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c r="AT761" s="34"/>
      <c r="AU761" s="34"/>
      <c r="AV761" s="34"/>
      <c r="AW761" s="34"/>
      <c r="AX761" s="34"/>
      <c r="AY761" s="34"/>
      <c r="AZ761" s="34"/>
    </row>
    <row r="762" spans="1:52" x14ac:dyDescent="0.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c r="AT762" s="34"/>
      <c r="AU762" s="34"/>
      <c r="AV762" s="34"/>
      <c r="AW762" s="34"/>
      <c r="AX762" s="34"/>
      <c r="AY762" s="34"/>
      <c r="AZ762" s="34"/>
    </row>
    <row r="763" spans="1:52" x14ac:dyDescent="0.2">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c r="AT763" s="34"/>
      <c r="AU763" s="34"/>
      <c r="AV763" s="34"/>
      <c r="AW763" s="34"/>
      <c r="AX763" s="34"/>
      <c r="AY763" s="34"/>
      <c r="AZ763" s="34"/>
    </row>
    <row r="764" spans="1:52" x14ac:dyDescent="0.2">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c r="AT764" s="34"/>
      <c r="AU764" s="34"/>
      <c r="AV764" s="34"/>
      <c r="AW764" s="34"/>
      <c r="AX764" s="34"/>
      <c r="AY764" s="34"/>
      <c r="AZ764" s="34"/>
    </row>
    <row r="765" spans="1:52" x14ac:dyDescent="0.2">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c r="AT765" s="34"/>
      <c r="AU765" s="34"/>
      <c r="AV765" s="34"/>
      <c r="AW765" s="34"/>
      <c r="AX765" s="34"/>
      <c r="AY765" s="34"/>
      <c r="AZ765" s="34"/>
    </row>
    <row r="766" spans="1:52" x14ac:dyDescent="0.2">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c r="AT766" s="34"/>
      <c r="AU766" s="34"/>
      <c r="AV766" s="34"/>
      <c r="AW766" s="34"/>
      <c r="AX766" s="34"/>
      <c r="AY766" s="34"/>
      <c r="AZ766" s="34"/>
    </row>
    <row r="767" spans="1:52" x14ac:dyDescent="0.2">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c r="AF767" s="34"/>
      <c r="AG767" s="34"/>
      <c r="AH767" s="34"/>
      <c r="AI767" s="34"/>
      <c r="AJ767" s="34"/>
      <c r="AK767" s="34"/>
      <c r="AL767" s="34"/>
      <c r="AM767" s="34"/>
      <c r="AN767" s="34"/>
      <c r="AO767" s="34"/>
      <c r="AP767" s="34"/>
      <c r="AQ767" s="34"/>
      <c r="AR767" s="34"/>
      <c r="AS767" s="34"/>
      <c r="AT767" s="34"/>
      <c r="AU767" s="34"/>
      <c r="AV767" s="34"/>
      <c r="AW767" s="34"/>
      <c r="AX767" s="34"/>
      <c r="AY767" s="34"/>
      <c r="AZ767" s="34"/>
    </row>
    <row r="768" spans="1:52" x14ac:dyDescent="0.2">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c r="AT768" s="34"/>
      <c r="AU768" s="34"/>
      <c r="AV768" s="34"/>
      <c r="AW768" s="34"/>
      <c r="AX768" s="34"/>
      <c r="AY768" s="34"/>
      <c r="AZ768" s="34"/>
    </row>
    <row r="769" spans="1:52" x14ac:dyDescent="0.2">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c r="AT769" s="34"/>
      <c r="AU769" s="34"/>
      <c r="AV769" s="34"/>
      <c r="AW769" s="34"/>
      <c r="AX769" s="34"/>
      <c r="AY769" s="34"/>
      <c r="AZ769" s="34"/>
    </row>
    <row r="770" spans="1:52" x14ac:dyDescent="0.2">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c r="AT770" s="34"/>
      <c r="AU770" s="34"/>
      <c r="AV770" s="34"/>
      <c r="AW770" s="34"/>
      <c r="AX770" s="34"/>
      <c r="AY770" s="34"/>
      <c r="AZ770" s="34"/>
    </row>
    <row r="771" spans="1:52" x14ac:dyDescent="0.2">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c r="AT771" s="34"/>
      <c r="AU771" s="34"/>
      <c r="AV771" s="34"/>
      <c r="AW771" s="34"/>
      <c r="AX771" s="34"/>
      <c r="AY771" s="34"/>
      <c r="AZ771" s="34"/>
    </row>
    <row r="772" spans="1:52" x14ac:dyDescent="0.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c r="AT772" s="34"/>
      <c r="AU772" s="34"/>
      <c r="AV772" s="34"/>
      <c r="AW772" s="34"/>
      <c r="AX772" s="34"/>
      <c r="AY772" s="34"/>
      <c r="AZ772" s="34"/>
    </row>
    <row r="773" spans="1:52" x14ac:dyDescent="0.2">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c r="AT773" s="34"/>
      <c r="AU773" s="34"/>
      <c r="AV773" s="34"/>
      <c r="AW773" s="34"/>
      <c r="AX773" s="34"/>
      <c r="AY773" s="34"/>
      <c r="AZ773" s="34"/>
    </row>
    <row r="774" spans="1:52" x14ac:dyDescent="0.2">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c r="AT774" s="34"/>
      <c r="AU774" s="34"/>
      <c r="AV774" s="34"/>
      <c r="AW774" s="34"/>
      <c r="AX774" s="34"/>
      <c r="AY774" s="34"/>
      <c r="AZ774" s="34"/>
    </row>
    <row r="775" spans="1:52" x14ac:dyDescent="0.2">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c r="AT775" s="34"/>
      <c r="AU775" s="34"/>
      <c r="AV775" s="34"/>
      <c r="AW775" s="34"/>
      <c r="AX775" s="34"/>
      <c r="AY775" s="34"/>
      <c r="AZ775" s="34"/>
    </row>
    <row r="776" spans="1:52" x14ac:dyDescent="0.2">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c r="AT776" s="34"/>
      <c r="AU776" s="34"/>
      <c r="AV776" s="34"/>
      <c r="AW776" s="34"/>
      <c r="AX776" s="34"/>
      <c r="AY776" s="34"/>
      <c r="AZ776" s="34"/>
    </row>
    <row r="777" spans="1:52" x14ac:dyDescent="0.2">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c r="AT777" s="34"/>
      <c r="AU777" s="34"/>
      <c r="AV777" s="34"/>
      <c r="AW777" s="34"/>
      <c r="AX777" s="34"/>
      <c r="AY777" s="34"/>
      <c r="AZ777" s="34"/>
    </row>
    <row r="778" spans="1:52" x14ac:dyDescent="0.2">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c r="AT778" s="34"/>
      <c r="AU778" s="34"/>
      <c r="AV778" s="34"/>
      <c r="AW778" s="34"/>
      <c r="AX778" s="34"/>
      <c r="AY778" s="34"/>
      <c r="AZ778" s="34"/>
    </row>
    <row r="779" spans="1:52" x14ac:dyDescent="0.2">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c r="AT779" s="34"/>
      <c r="AU779" s="34"/>
      <c r="AV779" s="34"/>
      <c r="AW779" s="34"/>
      <c r="AX779" s="34"/>
      <c r="AY779" s="34"/>
      <c r="AZ779" s="34"/>
    </row>
    <row r="780" spans="1:52" x14ac:dyDescent="0.2">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c r="AT780" s="34"/>
      <c r="AU780" s="34"/>
      <c r="AV780" s="34"/>
      <c r="AW780" s="34"/>
      <c r="AX780" s="34"/>
      <c r="AY780" s="34"/>
      <c r="AZ780" s="34"/>
    </row>
    <row r="781" spans="1:52" x14ac:dyDescent="0.2">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c r="AT781" s="34"/>
      <c r="AU781" s="34"/>
      <c r="AV781" s="34"/>
      <c r="AW781" s="34"/>
      <c r="AX781" s="34"/>
      <c r="AY781" s="34"/>
      <c r="AZ781" s="34"/>
    </row>
    <row r="782" spans="1:52" x14ac:dyDescent="0.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c r="AT782" s="34"/>
      <c r="AU782" s="34"/>
      <c r="AV782" s="34"/>
      <c r="AW782" s="34"/>
      <c r="AX782" s="34"/>
      <c r="AY782" s="34"/>
      <c r="AZ782" s="34"/>
    </row>
    <row r="783" spans="1:52" x14ac:dyDescent="0.2">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c r="AF783" s="34"/>
      <c r="AG783" s="34"/>
      <c r="AH783" s="34"/>
      <c r="AI783" s="34"/>
      <c r="AJ783" s="34"/>
      <c r="AK783" s="34"/>
      <c r="AL783" s="34"/>
      <c r="AM783" s="34"/>
      <c r="AN783" s="34"/>
      <c r="AO783" s="34"/>
      <c r="AP783" s="34"/>
      <c r="AQ783" s="34"/>
      <c r="AR783" s="34"/>
      <c r="AS783" s="34"/>
      <c r="AT783" s="34"/>
      <c r="AU783" s="34"/>
      <c r="AV783" s="34"/>
      <c r="AW783" s="34"/>
      <c r="AX783" s="34"/>
      <c r="AY783" s="34"/>
      <c r="AZ783" s="34"/>
    </row>
    <row r="784" spans="1:52" x14ac:dyDescent="0.2">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c r="AT784" s="34"/>
      <c r="AU784" s="34"/>
      <c r="AV784" s="34"/>
      <c r="AW784" s="34"/>
      <c r="AX784" s="34"/>
      <c r="AY784" s="34"/>
      <c r="AZ784" s="34"/>
    </row>
    <row r="785" spans="1:52" x14ac:dyDescent="0.2">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c r="AT785" s="34"/>
      <c r="AU785" s="34"/>
      <c r="AV785" s="34"/>
      <c r="AW785" s="34"/>
      <c r="AX785" s="34"/>
      <c r="AY785" s="34"/>
      <c r="AZ785" s="34"/>
    </row>
    <row r="786" spans="1:52" x14ac:dyDescent="0.2">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c r="AT786" s="34"/>
      <c r="AU786" s="34"/>
      <c r="AV786" s="34"/>
      <c r="AW786" s="34"/>
      <c r="AX786" s="34"/>
      <c r="AY786" s="34"/>
      <c r="AZ786" s="34"/>
    </row>
    <row r="787" spans="1:52" x14ac:dyDescent="0.2">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c r="AT787" s="34"/>
      <c r="AU787" s="34"/>
      <c r="AV787" s="34"/>
      <c r="AW787" s="34"/>
      <c r="AX787" s="34"/>
      <c r="AY787" s="34"/>
      <c r="AZ787" s="34"/>
    </row>
    <row r="788" spans="1:52" x14ac:dyDescent="0.2">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c r="AT788" s="34"/>
      <c r="AU788" s="34"/>
      <c r="AV788" s="34"/>
      <c r="AW788" s="34"/>
      <c r="AX788" s="34"/>
      <c r="AY788" s="34"/>
      <c r="AZ788" s="34"/>
    </row>
    <row r="789" spans="1:52" x14ac:dyDescent="0.2">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c r="AF789" s="34"/>
      <c r="AG789" s="34"/>
      <c r="AH789" s="34"/>
      <c r="AI789" s="34"/>
      <c r="AJ789" s="34"/>
      <c r="AK789" s="34"/>
      <c r="AL789" s="34"/>
      <c r="AM789" s="34"/>
      <c r="AN789" s="34"/>
      <c r="AO789" s="34"/>
      <c r="AP789" s="34"/>
      <c r="AQ789" s="34"/>
      <c r="AR789" s="34"/>
      <c r="AS789" s="34"/>
      <c r="AT789" s="34"/>
      <c r="AU789" s="34"/>
      <c r="AV789" s="34"/>
      <c r="AW789" s="34"/>
      <c r="AX789" s="34"/>
      <c r="AY789" s="34"/>
      <c r="AZ789" s="34"/>
    </row>
    <row r="790" spans="1:52" x14ac:dyDescent="0.2">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c r="AS790" s="34"/>
      <c r="AT790" s="34"/>
      <c r="AU790" s="34"/>
      <c r="AV790" s="34"/>
      <c r="AW790" s="34"/>
      <c r="AX790" s="34"/>
      <c r="AY790" s="34"/>
      <c r="AZ790" s="34"/>
    </row>
    <row r="791" spans="1:52" x14ac:dyDescent="0.2">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c r="AS791" s="34"/>
      <c r="AT791" s="34"/>
      <c r="AU791" s="34"/>
      <c r="AV791" s="34"/>
      <c r="AW791" s="34"/>
      <c r="AX791" s="34"/>
      <c r="AY791" s="34"/>
      <c r="AZ791" s="34"/>
    </row>
    <row r="792" spans="1:52" x14ac:dyDescent="0.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c r="AS792" s="34"/>
      <c r="AT792" s="34"/>
      <c r="AU792" s="34"/>
      <c r="AV792" s="34"/>
      <c r="AW792" s="34"/>
      <c r="AX792" s="34"/>
      <c r="AY792" s="34"/>
      <c r="AZ792" s="34"/>
    </row>
    <row r="793" spans="1:52" x14ac:dyDescent="0.2">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c r="AS793" s="34"/>
      <c r="AT793" s="34"/>
      <c r="AU793" s="34"/>
      <c r="AV793" s="34"/>
      <c r="AW793" s="34"/>
      <c r="AX793" s="34"/>
      <c r="AY793" s="34"/>
      <c r="AZ793" s="34"/>
    </row>
    <row r="794" spans="1:52" x14ac:dyDescent="0.2">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c r="AS794" s="34"/>
      <c r="AT794" s="34"/>
      <c r="AU794" s="34"/>
      <c r="AV794" s="34"/>
      <c r="AW794" s="34"/>
      <c r="AX794" s="34"/>
      <c r="AY794" s="34"/>
      <c r="AZ794" s="34"/>
    </row>
    <row r="795" spans="1:52" x14ac:dyDescent="0.2">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c r="AS795" s="34"/>
      <c r="AT795" s="34"/>
      <c r="AU795" s="34"/>
      <c r="AV795" s="34"/>
      <c r="AW795" s="34"/>
      <c r="AX795" s="34"/>
      <c r="AY795" s="34"/>
      <c r="AZ795" s="34"/>
    </row>
    <row r="796" spans="1:52" x14ac:dyDescent="0.2">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c r="AS796" s="34"/>
      <c r="AT796" s="34"/>
      <c r="AU796" s="34"/>
      <c r="AV796" s="34"/>
      <c r="AW796" s="34"/>
      <c r="AX796" s="34"/>
      <c r="AY796" s="34"/>
      <c r="AZ796" s="34"/>
    </row>
    <row r="797" spans="1:52" x14ac:dyDescent="0.2">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c r="AS797" s="34"/>
      <c r="AT797" s="34"/>
      <c r="AU797" s="34"/>
      <c r="AV797" s="34"/>
      <c r="AW797" s="34"/>
      <c r="AX797" s="34"/>
      <c r="AY797" s="34"/>
      <c r="AZ797" s="34"/>
    </row>
    <row r="798" spans="1:52" x14ac:dyDescent="0.2">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c r="AS798" s="34"/>
      <c r="AT798" s="34"/>
      <c r="AU798" s="34"/>
      <c r="AV798" s="34"/>
      <c r="AW798" s="34"/>
      <c r="AX798" s="34"/>
      <c r="AY798" s="34"/>
      <c r="AZ798" s="34"/>
    </row>
    <row r="799" spans="1:52" x14ac:dyDescent="0.2">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c r="AS799" s="34"/>
      <c r="AT799" s="34"/>
      <c r="AU799" s="34"/>
      <c r="AV799" s="34"/>
      <c r="AW799" s="34"/>
      <c r="AX799" s="34"/>
      <c r="AY799" s="34"/>
      <c r="AZ799" s="34"/>
    </row>
    <row r="800" spans="1:52" x14ac:dyDescent="0.2">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c r="AS800" s="34"/>
      <c r="AT800" s="34"/>
      <c r="AU800" s="34"/>
      <c r="AV800" s="34"/>
      <c r="AW800" s="34"/>
      <c r="AX800" s="34"/>
      <c r="AY800" s="34"/>
      <c r="AZ800" s="34"/>
    </row>
    <row r="801" spans="1:52" x14ac:dyDescent="0.2">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c r="AS801" s="34"/>
      <c r="AT801" s="34"/>
      <c r="AU801" s="34"/>
      <c r="AV801" s="34"/>
      <c r="AW801" s="34"/>
      <c r="AX801" s="34"/>
      <c r="AY801" s="34"/>
      <c r="AZ801" s="34"/>
    </row>
    <row r="802" spans="1:52" x14ac:dyDescent="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c r="AS802" s="34"/>
      <c r="AT802" s="34"/>
      <c r="AU802" s="34"/>
      <c r="AV802" s="34"/>
      <c r="AW802" s="34"/>
      <c r="AX802" s="34"/>
      <c r="AY802" s="34"/>
      <c r="AZ802" s="34"/>
    </row>
    <row r="803" spans="1:52" x14ac:dyDescent="0.2">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c r="AS803" s="34"/>
      <c r="AT803" s="34"/>
      <c r="AU803" s="34"/>
      <c r="AV803" s="34"/>
      <c r="AW803" s="34"/>
      <c r="AX803" s="34"/>
      <c r="AY803" s="34"/>
      <c r="AZ803" s="34"/>
    </row>
    <row r="804" spans="1:52" x14ac:dyDescent="0.2">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c r="AS804" s="34"/>
      <c r="AT804" s="34"/>
      <c r="AU804" s="34"/>
      <c r="AV804" s="34"/>
      <c r="AW804" s="34"/>
      <c r="AX804" s="34"/>
      <c r="AY804" s="34"/>
      <c r="AZ804" s="34"/>
    </row>
    <row r="805" spans="1:52" x14ac:dyDescent="0.2">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c r="AS805" s="34"/>
      <c r="AT805" s="34"/>
      <c r="AU805" s="34"/>
      <c r="AV805" s="34"/>
      <c r="AW805" s="34"/>
      <c r="AX805" s="34"/>
      <c r="AY805" s="34"/>
      <c r="AZ805" s="34"/>
    </row>
    <row r="806" spans="1:52" x14ac:dyDescent="0.2">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c r="AS806" s="34"/>
      <c r="AT806" s="34"/>
      <c r="AU806" s="34"/>
      <c r="AV806" s="34"/>
      <c r="AW806" s="34"/>
      <c r="AX806" s="34"/>
      <c r="AY806" s="34"/>
      <c r="AZ806" s="34"/>
    </row>
    <row r="807" spans="1:52" x14ac:dyDescent="0.2">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c r="AS807" s="34"/>
      <c r="AT807" s="34"/>
      <c r="AU807" s="34"/>
      <c r="AV807" s="34"/>
      <c r="AW807" s="34"/>
      <c r="AX807" s="34"/>
      <c r="AY807" s="34"/>
      <c r="AZ807" s="34"/>
    </row>
    <row r="808" spans="1:52" x14ac:dyDescent="0.2">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c r="AS808" s="34"/>
      <c r="AT808" s="34"/>
      <c r="AU808" s="34"/>
      <c r="AV808" s="34"/>
      <c r="AW808" s="34"/>
      <c r="AX808" s="34"/>
      <c r="AY808" s="34"/>
      <c r="AZ808" s="34"/>
    </row>
    <row r="809" spans="1:52" x14ac:dyDescent="0.2">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c r="AS809" s="34"/>
      <c r="AT809" s="34"/>
      <c r="AU809" s="34"/>
      <c r="AV809" s="34"/>
      <c r="AW809" s="34"/>
      <c r="AX809" s="34"/>
      <c r="AY809" s="34"/>
      <c r="AZ809" s="34"/>
    </row>
    <row r="810" spans="1:52" x14ac:dyDescent="0.2">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c r="AS810" s="34"/>
      <c r="AT810" s="34"/>
      <c r="AU810" s="34"/>
      <c r="AV810" s="34"/>
      <c r="AW810" s="34"/>
      <c r="AX810" s="34"/>
      <c r="AY810" s="34"/>
      <c r="AZ810" s="34"/>
    </row>
    <row r="811" spans="1:52" x14ac:dyDescent="0.2">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c r="AS811" s="34"/>
      <c r="AT811" s="34"/>
      <c r="AU811" s="34"/>
      <c r="AV811" s="34"/>
      <c r="AW811" s="34"/>
      <c r="AX811" s="34"/>
      <c r="AY811" s="34"/>
      <c r="AZ811" s="34"/>
    </row>
    <row r="812" spans="1:52" x14ac:dyDescent="0.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c r="AS812" s="34"/>
      <c r="AT812" s="34"/>
      <c r="AU812" s="34"/>
      <c r="AV812" s="34"/>
      <c r="AW812" s="34"/>
      <c r="AX812" s="34"/>
      <c r="AY812" s="34"/>
      <c r="AZ812" s="34"/>
    </row>
    <row r="813" spans="1:52" x14ac:dyDescent="0.2">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c r="AS813" s="34"/>
      <c r="AT813" s="34"/>
      <c r="AU813" s="34"/>
      <c r="AV813" s="34"/>
      <c r="AW813" s="34"/>
      <c r="AX813" s="34"/>
      <c r="AY813" s="34"/>
      <c r="AZ813" s="34"/>
    </row>
    <row r="814" spans="1:52" x14ac:dyDescent="0.2">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c r="AS814" s="34"/>
      <c r="AT814" s="34"/>
      <c r="AU814" s="34"/>
      <c r="AV814" s="34"/>
      <c r="AW814" s="34"/>
      <c r="AX814" s="34"/>
      <c r="AY814" s="34"/>
      <c r="AZ814" s="34"/>
    </row>
    <row r="815" spans="1:52" x14ac:dyDescent="0.2">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c r="AS815" s="34"/>
      <c r="AT815" s="34"/>
      <c r="AU815" s="34"/>
      <c r="AV815" s="34"/>
      <c r="AW815" s="34"/>
      <c r="AX815" s="34"/>
      <c r="AY815" s="34"/>
      <c r="AZ815" s="34"/>
    </row>
    <row r="816" spans="1:52" x14ac:dyDescent="0.2">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c r="AS816" s="34"/>
      <c r="AT816" s="34"/>
      <c r="AU816" s="34"/>
      <c r="AV816" s="34"/>
      <c r="AW816" s="34"/>
      <c r="AX816" s="34"/>
      <c r="AY816" s="34"/>
      <c r="AZ816" s="34"/>
    </row>
    <row r="817" spans="1:52" x14ac:dyDescent="0.2">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c r="AS817" s="34"/>
      <c r="AT817" s="34"/>
      <c r="AU817" s="34"/>
      <c r="AV817" s="34"/>
      <c r="AW817" s="34"/>
      <c r="AX817" s="34"/>
      <c r="AY817" s="34"/>
      <c r="AZ817" s="34"/>
    </row>
    <row r="818" spans="1:52" x14ac:dyDescent="0.2">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c r="AS818" s="34"/>
      <c r="AT818" s="34"/>
      <c r="AU818" s="34"/>
      <c r="AV818" s="34"/>
      <c r="AW818" s="34"/>
      <c r="AX818" s="34"/>
      <c r="AY818" s="34"/>
      <c r="AZ818" s="34"/>
    </row>
    <row r="819" spans="1:52" x14ac:dyDescent="0.2">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c r="AS819" s="34"/>
      <c r="AT819" s="34"/>
      <c r="AU819" s="34"/>
      <c r="AV819" s="34"/>
      <c r="AW819" s="34"/>
      <c r="AX819" s="34"/>
      <c r="AY819" s="34"/>
      <c r="AZ819" s="34"/>
    </row>
    <row r="820" spans="1:52" x14ac:dyDescent="0.2">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c r="AS820" s="34"/>
      <c r="AT820" s="34"/>
      <c r="AU820" s="34"/>
      <c r="AV820" s="34"/>
      <c r="AW820" s="34"/>
      <c r="AX820" s="34"/>
      <c r="AY820" s="34"/>
      <c r="AZ820" s="34"/>
    </row>
    <row r="821" spans="1:52" x14ac:dyDescent="0.2">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c r="AS821" s="34"/>
      <c r="AT821" s="34"/>
      <c r="AU821" s="34"/>
      <c r="AV821" s="34"/>
      <c r="AW821" s="34"/>
      <c r="AX821" s="34"/>
      <c r="AY821" s="34"/>
      <c r="AZ821" s="34"/>
    </row>
    <row r="822" spans="1:52" x14ac:dyDescent="0.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c r="AS822" s="34"/>
      <c r="AT822" s="34"/>
      <c r="AU822" s="34"/>
      <c r="AV822" s="34"/>
      <c r="AW822" s="34"/>
      <c r="AX822" s="34"/>
      <c r="AY822" s="34"/>
      <c r="AZ822" s="34"/>
    </row>
    <row r="823" spans="1:52" x14ac:dyDescent="0.2">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c r="AS823" s="34"/>
      <c r="AT823" s="34"/>
      <c r="AU823" s="34"/>
      <c r="AV823" s="34"/>
      <c r="AW823" s="34"/>
      <c r="AX823" s="34"/>
      <c r="AY823" s="34"/>
      <c r="AZ823" s="34"/>
    </row>
    <row r="824" spans="1:52" x14ac:dyDescent="0.2">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c r="AS824" s="34"/>
      <c r="AT824" s="34"/>
      <c r="AU824" s="34"/>
      <c r="AV824" s="34"/>
      <c r="AW824" s="34"/>
      <c r="AX824" s="34"/>
      <c r="AY824" s="34"/>
      <c r="AZ824" s="34"/>
    </row>
    <row r="825" spans="1:52" x14ac:dyDescent="0.2">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c r="AS825" s="34"/>
      <c r="AT825" s="34"/>
      <c r="AU825" s="34"/>
      <c r="AV825" s="34"/>
      <c r="AW825" s="34"/>
      <c r="AX825" s="34"/>
      <c r="AY825" s="34"/>
      <c r="AZ825" s="34"/>
    </row>
    <row r="826" spans="1:52" x14ac:dyDescent="0.2">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c r="AS826" s="34"/>
      <c r="AT826" s="34"/>
      <c r="AU826" s="34"/>
      <c r="AV826" s="34"/>
      <c r="AW826" s="34"/>
      <c r="AX826" s="34"/>
      <c r="AY826" s="34"/>
      <c r="AZ826" s="34"/>
    </row>
    <row r="827" spans="1:52" x14ac:dyDescent="0.2">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c r="AF827" s="34"/>
      <c r="AG827" s="34"/>
      <c r="AH827" s="34"/>
      <c r="AI827" s="34"/>
      <c r="AJ827" s="34"/>
      <c r="AK827" s="34"/>
      <c r="AL827" s="34"/>
      <c r="AM827" s="34"/>
      <c r="AN827" s="34"/>
      <c r="AO827" s="34"/>
      <c r="AP827" s="34"/>
      <c r="AQ827" s="34"/>
      <c r="AR827" s="34"/>
      <c r="AS827" s="34"/>
      <c r="AT827" s="34"/>
      <c r="AU827" s="34"/>
      <c r="AV827" s="34"/>
      <c r="AW827" s="34"/>
      <c r="AX827" s="34"/>
      <c r="AY827" s="34"/>
      <c r="AZ827" s="34"/>
    </row>
    <row r="828" spans="1:52" x14ac:dyDescent="0.2">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c r="AF828" s="34"/>
      <c r="AG828" s="34"/>
      <c r="AH828" s="34"/>
      <c r="AI828" s="34"/>
      <c r="AJ828" s="34"/>
      <c r="AK828" s="34"/>
      <c r="AL828" s="34"/>
      <c r="AM828" s="34"/>
      <c r="AN828" s="34"/>
      <c r="AO828" s="34"/>
      <c r="AP828" s="34"/>
      <c r="AQ828" s="34"/>
      <c r="AR828" s="34"/>
      <c r="AS828" s="34"/>
      <c r="AT828" s="34"/>
      <c r="AU828" s="34"/>
      <c r="AV828" s="34"/>
      <c r="AW828" s="34"/>
      <c r="AX828" s="34"/>
      <c r="AY828" s="34"/>
      <c r="AZ828" s="34"/>
    </row>
    <row r="829" spans="1:52" x14ac:dyDescent="0.2">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c r="AF829" s="34"/>
      <c r="AG829" s="34"/>
      <c r="AH829" s="34"/>
      <c r="AI829" s="34"/>
      <c r="AJ829" s="34"/>
      <c r="AK829" s="34"/>
      <c r="AL829" s="34"/>
      <c r="AM829" s="34"/>
      <c r="AN829" s="34"/>
      <c r="AO829" s="34"/>
      <c r="AP829" s="34"/>
      <c r="AQ829" s="34"/>
      <c r="AR829" s="34"/>
      <c r="AS829" s="34"/>
      <c r="AT829" s="34"/>
      <c r="AU829" s="34"/>
      <c r="AV829" s="34"/>
      <c r="AW829" s="34"/>
      <c r="AX829" s="34"/>
      <c r="AY829" s="34"/>
      <c r="AZ829" s="34"/>
    </row>
    <row r="830" spans="1:52" x14ac:dyDescent="0.2">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c r="AF830" s="34"/>
      <c r="AG830" s="34"/>
      <c r="AH830" s="34"/>
      <c r="AI830" s="34"/>
      <c r="AJ830" s="34"/>
      <c r="AK830" s="34"/>
      <c r="AL830" s="34"/>
      <c r="AM830" s="34"/>
      <c r="AN830" s="34"/>
      <c r="AO830" s="34"/>
      <c r="AP830" s="34"/>
      <c r="AQ830" s="34"/>
      <c r="AR830" s="34"/>
      <c r="AS830" s="34"/>
      <c r="AT830" s="34"/>
      <c r="AU830" s="34"/>
      <c r="AV830" s="34"/>
      <c r="AW830" s="34"/>
      <c r="AX830" s="34"/>
      <c r="AY830" s="34"/>
      <c r="AZ830" s="34"/>
    </row>
    <row r="831" spans="1:52" x14ac:dyDescent="0.2">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c r="AF831" s="34"/>
      <c r="AG831" s="34"/>
      <c r="AH831" s="34"/>
      <c r="AI831" s="34"/>
      <c r="AJ831" s="34"/>
      <c r="AK831" s="34"/>
      <c r="AL831" s="34"/>
      <c r="AM831" s="34"/>
      <c r="AN831" s="34"/>
      <c r="AO831" s="34"/>
      <c r="AP831" s="34"/>
      <c r="AQ831" s="34"/>
      <c r="AR831" s="34"/>
      <c r="AS831" s="34"/>
      <c r="AT831" s="34"/>
      <c r="AU831" s="34"/>
      <c r="AV831" s="34"/>
      <c r="AW831" s="34"/>
      <c r="AX831" s="34"/>
      <c r="AY831" s="34"/>
      <c r="AZ831" s="34"/>
    </row>
    <row r="832" spans="1:52" x14ac:dyDescent="0.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c r="AF832" s="34"/>
      <c r="AG832" s="34"/>
      <c r="AH832" s="34"/>
      <c r="AI832" s="34"/>
      <c r="AJ832" s="34"/>
      <c r="AK832" s="34"/>
      <c r="AL832" s="34"/>
      <c r="AM832" s="34"/>
      <c r="AN832" s="34"/>
      <c r="AO832" s="34"/>
      <c r="AP832" s="34"/>
      <c r="AQ832" s="34"/>
      <c r="AR832" s="34"/>
      <c r="AS832" s="34"/>
      <c r="AT832" s="34"/>
      <c r="AU832" s="34"/>
      <c r="AV832" s="34"/>
      <c r="AW832" s="34"/>
      <c r="AX832" s="34"/>
      <c r="AY832" s="34"/>
      <c r="AZ832" s="34"/>
    </row>
    <row r="833" spans="1:52" x14ac:dyDescent="0.2">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c r="AF833" s="34"/>
      <c r="AG833" s="34"/>
      <c r="AH833" s="34"/>
      <c r="AI833" s="34"/>
      <c r="AJ833" s="34"/>
      <c r="AK833" s="34"/>
      <c r="AL833" s="34"/>
      <c r="AM833" s="34"/>
      <c r="AN833" s="34"/>
      <c r="AO833" s="34"/>
      <c r="AP833" s="34"/>
      <c r="AQ833" s="34"/>
      <c r="AR833" s="34"/>
      <c r="AS833" s="34"/>
      <c r="AT833" s="34"/>
      <c r="AU833" s="34"/>
      <c r="AV833" s="34"/>
      <c r="AW833" s="34"/>
      <c r="AX833" s="34"/>
      <c r="AY833" s="34"/>
      <c r="AZ833" s="34"/>
    </row>
    <row r="834" spans="1:52" x14ac:dyDescent="0.2">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c r="AF834" s="34"/>
      <c r="AG834" s="34"/>
      <c r="AH834" s="34"/>
      <c r="AI834" s="34"/>
      <c r="AJ834" s="34"/>
      <c r="AK834" s="34"/>
      <c r="AL834" s="34"/>
      <c r="AM834" s="34"/>
      <c r="AN834" s="34"/>
      <c r="AO834" s="34"/>
      <c r="AP834" s="34"/>
      <c r="AQ834" s="34"/>
      <c r="AR834" s="34"/>
      <c r="AS834" s="34"/>
      <c r="AT834" s="34"/>
      <c r="AU834" s="34"/>
      <c r="AV834" s="34"/>
      <c r="AW834" s="34"/>
      <c r="AX834" s="34"/>
      <c r="AY834" s="34"/>
      <c r="AZ834" s="34"/>
    </row>
    <row r="835" spans="1:52" x14ac:dyDescent="0.2">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c r="AF835" s="34"/>
      <c r="AG835" s="34"/>
      <c r="AH835" s="34"/>
      <c r="AI835" s="34"/>
      <c r="AJ835" s="34"/>
      <c r="AK835" s="34"/>
      <c r="AL835" s="34"/>
      <c r="AM835" s="34"/>
      <c r="AN835" s="34"/>
      <c r="AO835" s="34"/>
      <c r="AP835" s="34"/>
      <c r="AQ835" s="34"/>
      <c r="AR835" s="34"/>
      <c r="AS835" s="34"/>
      <c r="AT835" s="34"/>
      <c r="AU835" s="34"/>
      <c r="AV835" s="34"/>
      <c r="AW835" s="34"/>
      <c r="AX835" s="34"/>
      <c r="AY835" s="34"/>
      <c r="AZ835" s="34"/>
    </row>
    <row r="836" spans="1:52" x14ac:dyDescent="0.2">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c r="AF836" s="34"/>
      <c r="AG836" s="34"/>
      <c r="AH836" s="34"/>
      <c r="AI836" s="34"/>
      <c r="AJ836" s="34"/>
      <c r="AK836" s="34"/>
      <c r="AL836" s="34"/>
      <c r="AM836" s="34"/>
      <c r="AN836" s="34"/>
      <c r="AO836" s="34"/>
      <c r="AP836" s="34"/>
      <c r="AQ836" s="34"/>
      <c r="AR836" s="34"/>
      <c r="AS836" s="34"/>
      <c r="AT836" s="34"/>
      <c r="AU836" s="34"/>
      <c r="AV836" s="34"/>
      <c r="AW836" s="34"/>
      <c r="AX836" s="34"/>
      <c r="AY836" s="34"/>
      <c r="AZ836" s="34"/>
    </row>
    <row r="837" spans="1:52" x14ac:dyDescent="0.2">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c r="AF837" s="34"/>
      <c r="AG837" s="34"/>
      <c r="AH837" s="34"/>
      <c r="AI837" s="34"/>
      <c r="AJ837" s="34"/>
      <c r="AK837" s="34"/>
      <c r="AL837" s="34"/>
      <c r="AM837" s="34"/>
      <c r="AN837" s="34"/>
      <c r="AO837" s="34"/>
      <c r="AP837" s="34"/>
      <c r="AQ837" s="34"/>
      <c r="AR837" s="34"/>
      <c r="AS837" s="34"/>
      <c r="AT837" s="34"/>
      <c r="AU837" s="34"/>
      <c r="AV837" s="34"/>
      <c r="AW837" s="34"/>
      <c r="AX837" s="34"/>
      <c r="AY837" s="34"/>
      <c r="AZ837" s="34"/>
    </row>
    <row r="838" spans="1:52" x14ac:dyDescent="0.2">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c r="AF838" s="34"/>
      <c r="AG838" s="34"/>
      <c r="AH838" s="34"/>
      <c r="AI838" s="34"/>
      <c r="AJ838" s="34"/>
      <c r="AK838" s="34"/>
      <c r="AL838" s="34"/>
      <c r="AM838" s="34"/>
      <c r="AN838" s="34"/>
      <c r="AO838" s="34"/>
      <c r="AP838" s="34"/>
      <c r="AQ838" s="34"/>
      <c r="AR838" s="34"/>
      <c r="AS838" s="34"/>
      <c r="AT838" s="34"/>
      <c r="AU838" s="34"/>
      <c r="AV838" s="34"/>
      <c r="AW838" s="34"/>
      <c r="AX838" s="34"/>
      <c r="AY838" s="34"/>
      <c r="AZ838" s="34"/>
    </row>
    <row r="839" spans="1:52" x14ac:dyDescent="0.2">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c r="AF839" s="34"/>
      <c r="AG839" s="34"/>
      <c r="AH839" s="34"/>
      <c r="AI839" s="34"/>
      <c r="AJ839" s="34"/>
      <c r="AK839" s="34"/>
      <c r="AL839" s="34"/>
      <c r="AM839" s="34"/>
      <c r="AN839" s="34"/>
      <c r="AO839" s="34"/>
      <c r="AP839" s="34"/>
      <c r="AQ839" s="34"/>
      <c r="AR839" s="34"/>
      <c r="AS839" s="34"/>
      <c r="AT839" s="34"/>
      <c r="AU839" s="34"/>
      <c r="AV839" s="34"/>
      <c r="AW839" s="34"/>
      <c r="AX839" s="34"/>
      <c r="AY839" s="34"/>
      <c r="AZ839" s="34"/>
    </row>
    <row r="840" spans="1:52" x14ac:dyDescent="0.2">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c r="AF840" s="34"/>
      <c r="AG840" s="34"/>
      <c r="AH840" s="34"/>
      <c r="AI840" s="34"/>
      <c r="AJ840" s="34"/>
      <c r="AK840" s="34"/>
      <c r="AL840" s="34"/>
      <c r="AM840" s="34"/>
      <c r="AN840" s="34"/>
      <c r="AO840" s="34"/>
      <c r="AP840" s="34"/>
      <c r="AQ840" s="34"/>
      <c r="AR840" s="34"/>
      <c r="AS840" s="34"/>
      <c r="AT840" s="34"/>
      <c r="AU840" s="34"/>
      <c r="AV840" s="34"/>
      <c r="AW840" s="34"/>
      <c r="AX840" s="34"/>
      <c r="AY840" s="34"/>
      <c r="AZ840" s="34"/>
    </row>
    <row r="841" spans="1:52" x14ac:dyDescent="0.2">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c r="AF841" s="34"/>
      <c r="AG841" s="34"/>
      <c r="AH841" s="34"/>
      <c r="AI841" s="34"/>
      <c r="AJ841" s="34"/>
      <c r="AK841" s="34"/>
      <c r="AL841" s="34"/>
      <c r="AM841" s="34"/>
      <c r="AN841" s="34"/>
      <c r="AO841" s="34"/>
      <c r="AP841" s="34"/>
      <c r="AQ841" s="34"/>
      <c r="AR841" s="34"/>
      <c r="AS841" s="34"/>
      <c r="AT841" s="34"/>
      <c r="AU841" s="34"/>
      <c r="AV841" s="34"/>
      <c r="AW841" s="34"/>
      <c r="AX841" s="34"/>
      <c r="AY841" s="34"/>
      <c r="AZ841" s="34"/>
    </row>
    <row r="842" spans="1:52" x14ac:dyDescent="0.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c r="AF842" s="34"/>
      <c r="AG842" s="34"/>
      <c r="AH842" s="34"/>
      <c r="AI842" s="34"/>
      <c r="AJ842" s="34"/>
      <c r="AK842" s="34"/>
      <c r="AL842" s="34"/>
      <c r="AM842" s="34"/>
      <c r="AN842" s="34"/>
      <c r="AO842" s="34"/>
      <c r="AP842" s="34"/>
      <c r="AQ842" s="34"/>
      <c r="AR842" s="34"/>
      <c r="AS842" s="34"/>
      <c r="AT842" s="34"/>
      <c r="AU842" s="34"/>
      <c r="AV842" s="34"/>
      <c r="AW842" s="34"/>
      <c r="AX842" s="34"/>
      <c r="AY842" s="34"/>
      <c r="AZ842" s="34"/>
    </row>
    <row r="843" spans="1:52" x14ac:dyDescent="0.2">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c r="AF843" s="34"/>
      <c r="AG843" s="34"/>
      <c r="AH843" s="34"/>
      <c r="AI843" s="34"/>
      <c r="AJ843" s="34"/>
      <c r="AK843" s="34"/>
      <c r="AL843" s="34"/>
      <c r="AM843" s="34"/>
      <c r="AN843" s="34"/>
      <c r="AO843" s="34"/>
      <c r="AP843" s="34"/>
      <c r="AQ843" s="34"/>
      <c r="AR843" s="34"/>
      <c r="AS843" s="34"/>
      <c r="AT843" s="34"/>
      <c r="AU843" s="34"/>
      <c r="AV843" s="34"/>
      <c r="AW843" s="34"/>
      <c r="AX843" s="34"/>
      <c r="AY843" s="34"/>
      <c r="AZ843" s="34"/>
    </row>
    <row r="844" spans="1:52" x14ac:dyDescent="0.2">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c r="AF844" s="34"/>
      <c r="AG844" s="34"/>
      <c r="AH844" s="34"/>
      <c r="AI844" s="34"/>
      <c r="AJ844" s="34"/>
      <c r="AK844" s="34"/>
      <c r="AL844" s="34"/>
      <c r="AM844" s="34"/>
      <c r="AN844" s="34"/>
      <c r="AO844" s="34"/>
      <c r="AP844" s="34"/>
      <c r="AQ844" s="34"/>
      <c r="AR844" s="34"/>
      <c r="AS844" s="34"/>
      <c r="AT844" s="34"/>
      <c r="AU844" s="34"/>
      <c r="AV844" s="34"/>
      <c r="AW844" s="34"/>
      <c r="AX844" s="34"/>
      <c r="AY844" s="34"/>
      <c r="AZ844" s="34"/>
    </row>
    <row r="845" spans="1:52" x14ac:dyDescent="0.2">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c r="AF845" s="34"/>
      <c r="AG845" s="34"/>
      <c r="AH845" s="34"/>
      <c r="AI845" s="34"/>
      <c r="AJ845" s="34"/>
      <c r="AK845" s="34"/>
      <c r="AL845" s="34"/>
      <c r="AM845" s="34"/>
      <c r="AN845" s="34"/>
      <c r="AO845" s="34"/>
      <c r="AP845" s="34"/>
      <c r="AQ845" s="34"/>
      <c r="AR845" s="34"/>
      <c r="AS845" s="34"/>
      <c r="AT845" s="34"/>
      <c r="AU845" s="34"/>
      <c r="AV845" s="34"/>
      <c r="AW845" s="34"/>
      <c r="AX845" s="34"/>
      <c r="AY845" s="34"/>
      <c r="AZ845" s="34"/>
    </row>
    <row r="846" spans="1:52" x14ac:dyDescent="0.2">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c r="AF846" s="34"/>
      <c r="AG846" s="34"/>
      <c r="AH846" s="34"/>
      <c r="AI846" s="34"/>
      <c r="AJ846" s="34"/>
      <c r="AK846" s="34"/>
      <c r="AL846" s="34"/>
      <c r="AM846" s="34"/>
      <c r="AN846" s="34"/>
      <c r="AO846" s="34"/>
      <c r="AP846" s="34"/>
      <c r="AQ846" s="34"/>
      <c r="AR846" s="34"/>
      <c r="AS846" s="34"/>
      <c r="AT846" s="34"/>
      <c r="AU846" s="34"/>
      <c r="AV846" s="34"/>
      <c r="AW846" s="34"/>
      <c r="AX846" s="34"/>
      <c r="AY846" s="34"/>
      <c r="AZ846" s="34"/>
    </row>
    <row r="847" spans="1:52" x14ac:dyDescent="0.2">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c r="AF847" s="34"/>
      <c r="AG847" s="34"/>
      <c r="AH847" s="34"/>
      <c r="AI847" s="34"/>
      <c r="AJ847" s="34"/>
      <c r="AK847" s="34"/>
      <c r="AL847" s="34"/>
      <c r="AM847" s="34"/>
      <c r="AN847" s="34"/>
      <c r="AO847" s="34"/>
      <c r="AP847" s="34"/>
      <c r="AQ847" s="34"/>
      <c r="AR847" s="34"/>
      <c r="AS847" s="34"/>
      <c r="AT847" s="34"/>
      <c r="AU847" s="34"/>
      <c r="AV847" s="34"/>
      <c r="AW847" s="34"/>
      <c r="AX847" s="34"/>
      <c r="AY847" s="34"/>
      <c r="AZ847" s="34"/>
    </row>
    <row r="848" spans="1:52" x14ac:dyDescent="0.2">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c r="AF848" s="34"/>
      <c r="AG848" s="34"/>
      <c r="AH848" s="34"/>
      <c r="AI848" s="34"/>
      <c r="AJ848" s="34"/>
      <c r="AK848" s="34"/>
      <c r="AL848" s="34"/>
      <c r="AM848" s="34"/>
      <c r="AN848" s="34"/>
      <c r="AO848" s="34"/>
      <c r="AP848" s="34"/>
      <c r="AQ848" s="34"/>
      <c r="AR848" s="34"/>
      <c r="AS848" s="34"/>
      <c r="AT848" s="34"/>
      <c r="AU848" s="34"/>
      <c r="AV848" s="34"/>
      <c r="AW848" s="34"/>
      <c r="AX848" s="34"/>
      <c r="AY848" s="34"/>
      <c r="AZ848" s="34"/>
    </row>
    <row r="849" spans="1:52" x14ac:dyDescent="0.2">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c r="AF849" s="34"/>
      <c r="AG849" s="34"/>
      <c r="AH849" s="34"/>
      <c r="AI849" s="34"/>
      <c r="AJ849" s="34"/>
      <c r="AK849" s="34"/>
      <c r="AL849" s="34"/>
      <c r="AM849" s="34"/>
      <c r="AN849" s="34"/>
      <c r="AO849" s="34"/>
      <c r="AP849" s="34"/>
      <c r="AQ849" s="34"/>
      <c r="AR849" s="34"/>
      <c r="AS849" s="34"/>
      <c r="AT849" s="34"/>
      <c r="AU849" s="34"/>
      <c r="AV849" s="34"/>
      <c r="AW849" s="34"/>
      <c r="AX849" s="34"/>
      <c r="AY849" s="34"/>
      <c r="AZ849" s="34"/>
    </row>
    <row r="850" spans="1:52" x14ac:dyDescent="0.2">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c r="AF850" s="34"/>
      <c r="AG850" s="34"/>
      <c r="AH850" s="34"/>
      <c r="AI850" s="34"/>
      <c r="AJ850" s="34"/>
      <c r="AK850" s="34"/>
      <c r="AL850" s="34"/>
      <c r="AM850" s="34"/>
      <c r="AN850" s="34"/>
      <c r="AO850" s="34"/>
      <c r="AP850" s="34"/>
      <c r="AQ850" s="34"/>
      <c r="AR850" s="34"/>
      <c r="AS850" s="34"/>
      <c r="AT850" s="34"/>
      <c r="AU850" s="34"/>
      <c r="AV850" s="34"/>
      <c r="AW850" s="34"/>
      <c r="AX850" s="34"/>
      <c r="AY850" s="34"/>
      <c r="AZ850" s="34"/>
    </row>
    <row r="851" spans="1:52" x14ac:dyDescent="0.2">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c r="AF851" s="34"/>
      <c r="AG851" s="34"/>
      <c r="AH851" s="34"/>
      <c r="AI851" s="34"/>
      <c r="AJ851" s="34"/>
      <c r="AK851" s="34"/>
      <c r="AL851" s="34"/>
      <c r="AM851" s="34"/>
      <c r="AN851" s="34"/>
      <c r="AO851" s="34"/>
      <c r="AP851" s="34"/>
      <c r="AQ851" s="34"/>
      <c r="AR851" s="34"/>
      <c r="AS851" s="34"/>
      <c r="AT851" s="34"/>
      <c r="AU851" s="34"/>
      <c r="AV851" s="34"/>
      <c r="AW851" s="34"/>
      <c r="AX851" s="34"/>
      <c r="AY851" s="34"/>
      <c r="AZ851" s="34"/>
    </row>
    <row r="852" spans="1:52" x14ac:dyDescent="0.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c r="AF852" s="34"/>
      <c r="AG852" s="34"/>
      <c r="AH852" s="34"/>
      <c r="AI852" s="34"/>
      <c r="AJ852" s="34"/>
      <c r="AK852" s="34"/>
      <c r="AL852" s="34"/>
      <c r="AM852" s="34"/>
      <c r="AN852" s="34"/>
      <c r="AO852" s="34"/>
      <c r="AP852" s="34"/>
      <c r="AQ852" s="34"/>
      <c r="AR852" s="34"/>
      <c r="AS852" s="34"/>
      <c r="AT852" s="34"/>
      <c r="AU852" s="34"/>
      <c r="AV852" s="34"/>
      <c r="AW852" s="34"/>
      <c r="AX852" s="34"/>
      <c r="AY852" s="34"/>
      <c r="AZ852" s="34"/>
    </row>
    <row r="853" spans="1:52" x14ac:dyDescent="0.2">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c r="AF853" s="34"/>
      <c r="AG853" s="34"/>
      <c r="AH853" s="34"/>
      <c r="AI853" s="34"/>
      <c r="AJ853" s="34"/>
      <c r="AK853" s="34"/>
      <c r="AL853" s="34"/>
      <c r="AM853" s="34"/>
      <c r="AN853" s="34"/>
      <c r="AO853" s="34"/>
      <c r="AP853" s="34"/>
      <c r="AQ853" s="34"/>
      <c r="AR853" s="34"/>
      <c r="AS853" s="34"/>
      <c r="AT853" s="34"/>
      <c r="AU853" s="34"/>
      <c r="AV853" s="34"/>
      <c r="AW853" s="34"/>
      <c r="AX853" s="34"/>
      <c r="AY853" s="34"/>
      <c r="AZ853" s="34"/>
    </row>
    <row r="854" spans="1:52" x14ac:dyDescent="0.2">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c r="AF854" s="34"/>
      <c r="AG854" s="34"/>
      <c r="AH854" s="34"/>
      <c r="AI854" s="34"/>
      <c r="AJ854" s="34"/>
      <c r="AK854" s="34"/>
      <c r="AL854" s="34"/>
      <c r="AM854" s="34"/>
      <c r="AN854" s="34"/>
      <c r="AO854" s="34"/>
      <c r="AP854" s="34"/>
      <c r="AQ854" s="34"/>
      <c r="AR854" s="34"/>
      <c r="AS854" s="34"/>
      <c r="AT854" s="34"/>
      <c r="AU854" s="34"/>
      <c r="AV854" s="34"/>
      <c r="AW854" s="34"/>
      <c r="AX854" s="34"/>
      <c r="AY854" s="34"/>
      <c r="AZ854" s="34"/>
    </row>
    <row r="855" spans="1:52" x14ac:dyDescent="0.2">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c r="AF855" s="34"/>
      <c r="AG855" s="34"/>
      <c r="AH855" s="34"/>
      <c r="AI855" s="34"/>
      <c r="AJ855" s="34"/>
      <c r="AK855" s="34"/>
      <c r="AL855" s="34"/>
      <c r="AM855" s="34"/>
      <c r="AN855" s="34"/>
      <c r="AO855" s="34"/>
      <c r="AP855" s="34"/>
      <c r="AQ855" s="34"/>
      <c r="AR855" s="34"/>
      <c r="AS855" s="34"/>
      <c r="AT855" s="34"/>
      <c r="AU855" s="34"/>
      <c r="AV855" s="34"/>
      <c r="AW855" s="34"/>
      <c r="AX855" s="34"/>
      <c r="AY855" s="34"/>
      <c r="AZ855" s="34"/>
    </row>
    <row r="856" spans="1:52" x14ac:dyDescent="0.2">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c r="AF856" s="34"/>
      <c r="AG856" s="34"/>
      <c r="AH856" s="34"/>
      <c r="AI856" s="34"/>
      <c r="AJ856" s="34"/>
      <c r="AK856" s="34"/>
      <c r="AL856" s="34"/>
      <c r="AM856" s="34"/>
      <c r="AN856" s="34"/>
      <c r="AO856" s="34"/>
      <c r="AP856" s="34"/>
      <c r="AQ856" s="34"/>
      <c r="AR856" s="34"/>
      <c r="AS856" s="34"/>
      <c r="AT856" s="34"/>
      <c r="AU856" s="34"/>
      <c r="AV856" s="34"/>
      <c r="AW856" s="34"/>
      <c r="AX856" s="34"/>
      <c r="AY856" s="34"/>
      <c r="AZ856" s="34"/>
    </row>
    <row r="857" spans="1:52" x14ac:dyDescent="0.2">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c r="AF857" s="34"/>
      <c r="AG857" s="34"/>
      <c r="AH857" s="34"/>
      <c r="AI857" s="34"/>
      <c r="AJ857" s="34"/>
      <c r="AK857" s="34"/>
      <c r="AL857" s="34"/>
      <c r="AM857" s="34"/>
      <c r="AN857" s="34"/>
      <c r="AO857" s="34"/>
      <c r="AP857" s="34"/>
      <c r="AQ857" s="34"/>
      <c r="AR857" s="34"/>
      <c r="AS857" s="34"/>
      <c r="AT857" s="34"/>
      <c r="AU857" s="34"/>
      <c r="AV857" s="34"/>
      <c r="AW857" s="34"/>
      <c r="AX857" s="34"/>
      <c r="AY857" s="34"/>
      <c r="AZ857" s="34"/>
    </row>
    <row r="858" spans="1:52" x14ac:dyDescent="0.2">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c r="AF858" s="34"/>
      <c r="AG858" s="34"/>
      <c r="AH858" s="34"/>
      <c r="AI858" s="34"/>
      <c r="AJ858" s="34"/>
      <c r="AK858" s="34"/>
      <c r="AL858" s="34"/>
      <c r="AM858" s="34"/>
      <c r="AN858" s="34"/>
      <c r="AO858" s="34"/>
      <c r="AP858" s="34"/>
      <c r="AQ858" s="34"/>
      <c r="AR858" s="34"/>
      <c r="AS858" s="34"/>
      <c r="AT858" s="34"/>
      <c r="AU858" s="34"/>
      <c r="AV858" s="34"/>
      <c r="AW858" s="34"/>
      <c r="AX858" s="34"/>
      <c r="AY858" s="34"/>
      <c r="AZ858" s="34"/>
    </row>
    <row r="859" spans="1:52" x14ac:dyDescent="0.2">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c r="AF859" s="34"/>
      <c r="AG859" s="34"/>
      <c r="AH859" s="34"/>
      <c r="AI859" s="34"/>
      <c r="AJ859" s="34"/>
      <c r="AK859" s="34"/>
      <c r="AL859" s="34"/>
      <c r="AM859" s="34"/>
      <c r="AN859" s="34"/>
      <c r="AO859" s="34"/>
      <c r="AP859" s="34"/>
      <c r="AQ859" s="34"/>
      <c r="AR859" s="34"/>
      <c r="AS859" s="34"/>
      <c r="AT859" s="34"/>
      <c r="AU859" s="34"/>
      <c r="AV859" s="34"/>
      <c r="AW859" s="34"/>
      <c r="AX859" s="34"/>
      <c r="AY859" s="34"/>
      <c r="AZ859" s="34"/>
    </row>
    <row r="860" spans="1:52" x14ac:dyDescent="0.2">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c r="AF860" s="34"/>
      <c r="AG860" s="34"/>
      <c r="AH860" s="34"/>
      <c r="AI860" s="34"/>
      <c r="AJ860" s="34"/>
      <c r="AK860" s="34"/>
      <c r="AL860" s="34"/>
      <c r="AM860" s="34"/>
      <c r="AN860" s="34"/>
      <c r="AO860" s="34"/>
      <c r="AP860" s="34"/>
      <c r="AQ860" s="34"/>
      <c r="AR860" s="34"/>
      <c r="AS860" s="34"/>
      <c r="AT860" s="34"/>
      <c r="AU860" s="34"/>
      <c r="AV860" s="34"/>
      <c r="AW860" s="34"/>
      <c r="AX860" s="34"/>
      <c r="AY860" s="34"/>
      <c r="AZ860" s="34"/>
    </row>
    <row r="861" spans="1:52" x14ac:dyDescent="0.2">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c r="AF861" s="34"/>
      <c r="AG861" s="34"/>
      <c r="AH861" s="34"/>
      <c r="AI861" s="34"/>
      <c r="AJ861" s="34"/>
      <c r="AK861" s="34"/>
      <c r="AL861" s="34"/>
      <c r="AM861" s="34"/>
      <c r="AN861" s="34"/>
      <c r="AO861" s="34"/>
      <c r="AP861" s="34"/>
      <c r="AQ861" s="34"/>
      <c r="AR861" s="34"/>
      <c r="AS861" s="34"/>
      <c r="AT861" s="34"/>
      <c r="AU861" s="34"/>
      <c r="AV861" s="34"/>
      <c r="AW861" s="34"/>
      <c r="AX861" s="34"/>
      <c r="AY861" s="34"/>
      <c r="AZ861" s="34"/>
    </row>
    <row r="862" spans="1:52" x14ac:dyDescent="0.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c r="AF862" s="34"/>
      <c r="AG862" s="34"/>
      <c r="AH862" s="34"/>
      <c r="AI862" s="34"/>
      <c r="AJ862" s="34"/>
      <c r="AK862" s="34"/>
      <c r="AL862" s="34"/>
      <c r="AM862" s="34"/>
      <c r="AN862" s="34"/>
      <c r="AO862" s="34"/>
      <c r="AP862" s="34"/>
      <c r="AQ862" s="34"/>
      <c r="AR862" s="34"/>
      <c r="AS862" s="34"/>
      <c r="AT862" s="34"/>
      <c r="AU862" s="34"/>
      <c r="AV862" s="34"/>
      <c r="AW862" s="34"/>
      <c r="AX862" s="34"/>
      <c r="AY862" s="34"/>
      <c r="AZ862" s="34"/>
    </row>
    <row r="863" spans="1:52" x14ac:dyDescent="0.2">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c r="AF863" s="34"/>
      <c r="AG863" s="34"/>
      <c r="AH863" s="34"/>
      <c r="AI863" s="34"/>
      <c r="AJ863" s="34"/>
      <c r="AK863" s="34"/>
      <c r="AL863" s="34"/>
      <c r="AM863" s="34"/>
      <c r="AN863" s="34"/>
      <c r="AO863" s="34"/>
      <c r="AP863" s="34"/>
      <c r="AQ863" s="34"/>
      <c r="AR863" s="34"/>
      <c r="AS863" s="34"/>
      <c r="AT863" s="34"/>
      <c r="AU863" s="34"/>
      <c r="AV863" s="34"/>
      <c r="AW863" s="34"/>
      <c r="AX863" s="34"/>
      <c r="AY863" s="34"/>
      <c r="AZ863" s="34"/>
    </row>
    <row r="864" spans="1:52" x14ac:dyDescent="0.2">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c r="AF864" s="34"/>
      <c r="AG864" s="34"/>
      <c r="AH864" s="34"/>
      <c r="AI864" s="34"/>
      <c r="AJ864" s="34"/>
      <c r="AK864" s="34"/>
      <c r="AL864" s="34"/>
      <c r="AM864" s="34"/>
      <c r="AN864" s="34"/>
      <c r="AO864" s="34"/>
      <c r="AP864" s="34"/>
      <c r="AQ864" s="34"/>
      <c r="AR864" s="34"/>
      <c r="AS864" s="34"/>
      <c r="AT864" s="34"/>
      <c r="AU864" s="34"/>
      <c r="AV864" s="34"/>
      <c r="AW864" s="34"/>
      <c r="AX864" s="34"/>
      <c r="AY864" s="34"/>
      <c r="AZ864" s="34"/>
    </row>
    <row r="865" spans="1:52" x14ac:dyDescent="0.2">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c r="AF865" s="34"/>
      <c r="AG865" s="34"/>
      <c r="AH865" s="34"/>
      <c r="AI865" s="34"/>
      <c r="AJ865" s="34"/>
      <c r="AK865" s="34"/>
      <c r="AL865" s="34"/>
      <c r="AM865" s="34"/>
      <c r="AN865" s="34"/>
      <c r="AO865" s="34"/>
      <c r="AP865" s="34"/>
      <c r="AQ865" s="34"/>
      <c r="AR865" s="34"/>
      <c r="AS865" s="34"/>
      <c r="AT865" s="34"/>
      <c r="AU865" s="34"/>
      <c r="AV865" s="34"/>
      <c r="AW865" s="34"/>
      <c r="AX865" s="34"/>
      <c r="AY865" s="34"/>
      <c r="AZ865" s="34"/>
    </row>
    <row r="866" spans="1:52" x14ac:dyDescent="0.2">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c r="AF866" s="34"/>
      <c r="AG866" s="34"/>
      <c r="AH866" s="34"/>
      <c r="AI866" s="34"/>
      <c r="AJ866" s="34"/>
      <c r="AK866" s="34"/>
      <c r="AL866" s="34"/>
      <c r="AM866" s="34"/>
      <c r="AN866" s="34"/>
      <c r="AO866" s="34"/>
      <c r="AP866" s="34"/>
      <c r="AQ866" s="34"/>
      <c r="AR866" s="34"/>
      <c r="AS866" s="34"/>
      <c r="AT866" s="34"/>
      <c r="AU866" s="34"/>
      <c r="AV866" s="34"/>
      <c r="AW866" s="34"/>
      <c r="AX866" s="34"/>
      <c r="AY866" s="34"/>
      <c r="AZ866" s="34"/>
    </row>
    <row r="867" spans="1:52" x14ac:dyDescent="0.2">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c r="AF867" s="34"/>
      <c r="AG867" s="34"/>
      <c r="AH867" s="34"/>
      <c r="AI867" s="34"/>
      <c r="AJ867" s="34"/>
      <c r="AK867" s="34"/>
      <c r="AL867" s="34"/>
      <c r="AM867" s="34"/>
      <c r="AN867" s="34"/>
      <c r="AO867" s="34"/>
      <c r="AP867" s="34"/>
      <c r="AQ867" s="34"/>
      <c r="AR867" s="34"/>
      <c r="AS867" s="34"/>
      <c r="AT867" s="34"/>
      <c r="AU867" s="34"/>
      <c r="AV867" s="34"/>
      <c r="AW867" s="34"/>
      <c r="AX867" s="34"/>
      <c r="AY867" s="34"/>
      <c r="AZ867" s="34"/>
    </row>
    <row r="868" spans="1:52" x14ac:dyDescent="0.2">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c r="AF868" s="34"/>
      <c r="AG868" s="34"/>
      <c r="AH868" s="34"/>
      <c r="AI868" s="34"/>
      <c r="AJ868" s="34"/>
      <c r="AK868" s="34"/>
      <c r="AL868" s="34"/>
      <c r="AM868" s="34"/>
      <c r="AN868" s="34"/>
      <c r="AO868" s="34"/>
      <c r="AP868" s="34"/>
      <c r="AQ868" s="34"/>
      <c r="AR868" s="34"/>
      <c r="AS868" s="34"/>
      <c r="AT868" s="34"/>
      <c r="AU868" s="34"/>
      <c r="AV868" s="34"/>
      <c r="AW868" s="34"/>
      <c r="AX868" s="34"/>
      <c r="AY868" s="34"/>
      <c r="AZ868" s="34"/>
    </row>
    <row r="869" spans="1:52" x14ac:dyDescent="0.2">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c r="AF869" s="34"/>
      <c r="AG869" s="34"/>
      <c r="AH869" s="34"/>
      <c r="AI869" s="34"/>
      <c r="AJ869" s="34"/>
      <c r="AK869" s="34"/>
      <c r="AL869" s="34"/>
      <c r="AM869" s="34"/>
      <c r="AN869" s="34"/>
      <c r="AO869" s="34"/>
      <c r="AP869" s="34"/>
      <c r="AQ869" s="34"/>
      <c r="AR869" s="34"/>
      <c r="AS869" s="34"/>
      <c r="AT869" s="34"/>
      <c r="AU869" s="34"/>
      <c r="AV869" s="34"/>
      <c r="AW869" s="34"/>
      <c r="AX869" s="34"/>
      <c r="AY869" s="34"/>
      <c r="AZ869" s="34"/>
    </row>
    <row r="870" spans="1:52" x14ac:dyDescent="0.2">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c r="AF870" s="34"/>
      <c r="AG870" s="34"/>
      <c r="AH870" s="34"/>
      <c r="AI870" s="34"/>
      <c r="AJ870" s="34"/>
      <c r="AK870" s="34"/>
      <c r="AL870" s="34"/>
      <c r="AM870" s="34"/>
      <c r="AN870" s="34"/>
      <c r="AO870" s="34"/>
      <c r="AP870" s="34"/>
      <c r="AQ870" s="34"/>
      <c r="AR870" s="34"/>
      <c r="AS870" s="34"/>
      <c r="AT870" s="34"/>
      <c r="AU870" s="34"/>
      <c r="AV870" s="34"/>
      <c r="AW870" s="34"/>
      <c r="AX870" s="34"/>
      <c r="AY870" s="34"/>
      <c r="AZ870" s="34"/>
    </row>
    <row r="871" spans="1:52" x14ac:dyDescent="0.2">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c r="AF871" s="34"/>
      <c r="AG871" s="34"/>
      <c r="AH871" s="34"/>
      <c r="AI871" s="34"/>
      <c r="AJ871" s="34"/>
      <c r="AK871" s="34"/>
      <c r="AL871" s="34"/>
      <c r="AM871" s="34"/>
      <c r="AN871" s="34"/>
      <c r="AO871" s="34"/>
      <c r="AP871" s="34"/>
      <c r="AQ871" s="34"/>
      <c r="AR871" s="34"/>
      <c r="AS871" s="34"/>
      <c r="AT871" s="34"/>
      <c r="AU871" s="34"/>
      <c r="AV871" s="34"/>
      <c r="AW871" s="34"/>
      <c r="AX871" s="34"/>
      <c r="AY871" s="34"/>
      <c r="AZ871" s="34"/>
    </row>
    <row r="872" spans="1:52" x14ac:dyDescent="0.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c r="AF872" s="34"/>
      <c r="AG872" s="34"/>
      <c r="AH872" s="34"/>
      <c r="AI872" s="34"/>
      <c r="AJ872" s="34"/>
      <c r="AK872" s="34"/>
      <c r="AL872" s="34"/>
      <c r="AM872" s="34"/>
      <c r="AN872" s="34"/>
      <c r="AO872" s="34"/>
      <c r="AP872" s="34"/>
      <c r="AQ872" s="34"/>
      <c r="AR872" s="34"/>
      <c r="AS872" s="34"/>
      <c r="AT872" s="34"/>
      <c r="AU872" s="34"/>
      <c r="AV872" s="34"/>
      <c r="AW872" s="34"/>
      <c r="AX872" s="34"/>
      <c r="AY872" s="34"/>
      <c r="AZ872" s="34"/>
    </row>
    <row r="873" spans="1:52" x14ac:dyDescent="0.2">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c r="AF873" s="34"/>
      <c r="AG873" s="34"/>
      <c r="AH873" s="34"/>
      <c r="AI873" s="34"/>
      <c r="AJ873" s="34"/>
      <c r="AK873" s="34"/>
      <c r="AL873" s="34"/>
      <c r="AM873" s="34"/>
      <c r="AN873" s="34"/>
      <c r="AO873" s="34"/>
      <c r="AP873" s="34"/>
      <c r="AQ873" s="34"/>
      <c r="AR873" s="34"/>
      <c r="AS873" s="34"/>
      <c r="AT873" s="34"/>
      <c r="AU873" s="34"/>
      <c r="AV873" s="34"/>
      <c r="AW873" s="34"/>
      <c r="AX873" s="34"/>
      <c r="AY873" s="34"/>
      <c r="AZ873" s="34"/>
    </row>
    <row r="874" spans="1:52" x14ac:dyDescent="0.2">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c r="AF874" s="34"/>
      <c r="AG874" s="34"/>
      <c r="AH874" s="34"/>
      <c r="AI874" s="34"/>
      <c r="AJ874" s="34"/>
      <c r="AK874" s="34"/>
      <c r="AL874" s="34"/>
      <c r="AM874" s="34"/>
      <c r="AN874" s="34"/>
      <c r="AO874" s="34"/>
      <c r="AP874" s="34"/>
      <c r="AQ874" s="34"/>
      <c r="AR874" s="34"/>
      <c r="AS874" s="34"/>
      <c r="AT874" s="34"/>
      <c r="AU874" s="34"/>
      <c r="AV874" s="34"/>
      <c r="AW874" s="34"/>
      <c r="AX874" s="34"/>
      <c r="AY874" s="34"/>
      <c r="AZ874" s="34"/>
    </row>
    <row r="875" spans="1:52" x14ac:dyDescent="0.2">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c r="AF875" s="34"/>
      <c r="AG875" s="34"/>
      <c r="AH875" s="34"/>
      <c r="AI875" s="34"/>
      <c r="AJ875" s="34"/>
      <c r="AK875" s="34"/>
      <c r="AL875" s="34"/>
      <c r="AM875" s="34"/>
      <c r="AN875" s="34"/>
      <c r="AO875" s="34"/>
      <c r="AP875" s="34"/>
      <c r="AQ875" s="34"/>
      <c r="AR875" s="34"/>
      <c r="AS875" s="34"/>
      <c r="AT875" s="34"/>
      <c r="AU875" s="34"/>
      <c r="AV875" s="34"/>
      <c r="AW875" s="34"/>
      <c r="AX875" s="34"/>
      <c r="AY875" s="34"/>
      <c r="AZ875" s="34"/>
    </row>
    <row r="876" spans="1:52" x14ac:dyDescent="0.2">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c r="AF876" s="34"/>
      <c r="AG876" s="34"/>
      <c r="AH876" s="34"/>
      <c r="AI876" s="34"/>
      <c r="AJ876" s="34"/>
      <c r="AK876" s="34"/>
      <c r="AL876" s="34"/>
      <c r="AM876" s="34"/>
      <c r="AN876" s="34"/>
      <c r="AO876" s="34"/>
      <c r="AP876" s="34"/>
      <c r="AQ876" s="34"/>
      <c r="AR876" s="34"/>
      <c r="AS876" s="34"/>
      <c r="AT876" s="34"/>
      <c r="AU876" s="34"/>
      <c r="AV876" s="34"/>
      <c r="AW876" s="34"/>
      <c r="AX876" s="34"/>
      <c r="AY876" s="34"/>
      <c r="AZ876" s="34"/>
    </row>
    <row r="877" spans="1:52" x14ac:dyDescent="0.2">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c r="AF877" s="34"/>
      <c r="AG877" s="34"/>
      <c r="AH877" s="34"/>
      <c r="AI877" s="34"/>
      <c r="AJ877" s="34"/>
      <c r="AK877" s="34"/>
      <c r="AL877" s="34"/>
      <c r="AM877" s="34"/>
      <c r="AN877" s="34"/>
      <c r="AO877" s="34"/>
      <c r="AP877" s="34"/>
      <c r="AQ877" s="34"/>
      <c r="AR877" s="34"/>
      <c r="AS877" s="34"/>
      <c r="AT877" s="34"/>
      <c r="AU877" s="34"/>
      <c r="AV877" s="34"/>
      <c r="AW877" s="34"/>
      <c r="AX877" s="34"/>
      <c r="AY877" s="34"/>
      <c r="AZ877" s="34"/>
    </row>
    <row r="878" spans="1:52" x14ac:dyDescent="0.2">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c r="AF878" s="34"/>
      <c r="AG878" s="34"/>
      <c r="AH878" s="34"/>
      <c r="AI878" s="34"/>
      <c r="AJ878" s="34"/>
      <c r="AK878" s="34"/>
      <c r="AL878" s="34"/>
      <c r="AM878" s="34"/>
      <c r="AN878" s="34"/>
      <c r="AO878" s="34"/>
      <c r="AP878" s="34"/>
      <c r="AQ878" s="34"/>
      <c r="AR878" s="34"/>
      <c r="AS878" s="34"/>
      <c r="AT878" s="34"/>
      <c r="AU878" s="34"/>
      <c r="AV878" s="34"/>
      <c r="AW878" s="34"/>
      <c r="AX878" s="34"/>
      <c r="AY878" s="34"/>
      <c r="AZ878" s="34"/>
    </row>
    <row r="879" spans="1:52" x14ac:dyDescent="0.2">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c r="AF879" s="34"/>
      <c r="AG879" s="34"/>
      <c r="AH879" s="34"/>
      <c r="AI879" s="34"/>
      <c r="AJ879" s="34"/>
      <c r="AK879" s="34"/>
      <c r="AL879" s="34"/>
      <c r="AM879" s="34"/>
      <c r="AN879" s="34"/>
      <c r="AO879" s="34"/>
      <c r="AP879" s="34"/>
      <c r="AQ879" s="34"/>
      <c r="AR879" s="34"/>
      <c r="AS879" s="34"/>
      <c r="AT879" s="34"/>
      <c r="AU879" s="34"/>
      <c r="AV879" s="34"/>
      <c r="AW879" s="34"/>
      <c r="AX879" s="34"/>
      <c r="AY879" s="34"/>
      <c r="AZ879" s="34"/>
    </row>
    <row r="880" spans="1:52" x14ac:dyDescent="0.2">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c r="AF880" s="34"/>
      <c r="AG880" s="34"/>
      <c r="AH880" s="34"/>
      <c r="AI880" s="34"/>
      <c r="AJ880" s="34"/>
      <c r="AK880" s="34"/>
      <c r="AL880" s="34"/>
      <c r="AM880" s="34"/>
      <c r="AN880" s="34"/>
      <c r="AO880" s="34"/>
      <c r="AP880" s="34"/>
      <c r="AQ880" s="34"/>
      <c r="AR880" s="34"/>
      <c r="AS880" s="34"/>
      <c r="AT880" s="34"/>
      <c r="AU880" s="34"/>
      <c r="AV880" s="34"/>
      <c r="AW880" s="34"/>
      <c r="AX880" s="34"/>
      <c r="AY880" s="34"/>
      <c r="AZ880" s="34"/>
    </row>
    <row r="881" spans="1:52" x14ac:dyDescent="0.2">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c r="AF881" s="34"/>
      <c r="AG881" s="34"/>
      <c r="AH881" s="34"/>
      <c r="AI881" s="34"/>
      <c r="AJ881" s="34"/>
      <c r="AK881" s="34"/>
      <c r="AL881" s="34"/>
      <c r="AM881" s="34"/>
      <c r="AN881" s="34"/>
      <c r="AO881" s="34"/>
      <c r="AP881" s="34"/>
      <c r="AQ881" s="34"/>
      <c r="AR881" s="34"/>
      <c r="AS881" s="34"/>
      <c r="AT881" s="34"/>
      <c r="AU881" s="34"/>
      <c r="AV881" s="34"/>
      <c r="AW881" s="34"/>
      <c r="AX881" s="34"/>
      <c r="AY881" s="34"/>
      <c r="AZ881" s="34"/>
    </row>
    <row r="882" spans="1:52" x14ac:dyDescent="0.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c r="AF882" s="34"/>
      <c r="AG882" s="34"/>
      <c r="AH882" s="34"/>
      <c r="AI882" s="34"/>
      <c r="AJ882" s="34"/>
      <c r="AK882" s="34"/>
      <c r="AL882" s="34"/>
      <c r="AM882" s="34"/>
      <c r="AN882" s="34"/>
      <c r="AO882" s="34"/>
      <c r="AP882" s="34"/>
      <c r="AQ882" s="34"/>
      <c r="AR882" s="34"/>
      <c r="AS882" s="34"/>
      <c r="AT882" s="34"/>
      <c r="AU882" s="34"/>
      <c r="AV882" s="34"/>
      <c r="AW882" s="34"/>
      <c r="AX882" s="34"/>
      <c r="AY882" s="34"/>
      <c r="AZ882" s="34"/>
    </row>
    <row r="883" spans="1:52" x14ac:dyDescent="0.2">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c r="AF883" s="34"/>
      <c r="AG883" s="34"/>
      <c r="AH883" s="34"/>
      <c r="AI883" s="34"/>
      <c r="AJ883" s="34"/>
      <c r="AK883" s="34"/>
      <c r="AL883" s="34"/>
      <c r="AM883" s="34"/>
      <c r="AN883" s="34"/>
      <c r="AO883" s="34"/>
      <c r="AP883" s="34"/>
      <c r="AQ883" s="34"/>
      <c r="AR883" s="34"/>
      <c r="AS883" s="34"/>
      <c r="AT883" s="34"/>
      <c r="AU883" s="34"/>
      <c r="AV883" s="34"/>
      <c r="AW883" s="34"/>
      <c r="AX883" s="34"/>
      <c r="AY883" s="34"/>
      <c r="AZ883" s="34"/>
    </row>
    <row r="884" spans="1:52" x14ac:dyDescent="0.2">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c r="AF884" s="34"/>
      <c r="AG884" s="34"/>
      <c r="AH884" s="34"/>
      <c r="AI884" s="34"/>
      <c r="AJ884" s="34"/>
      <c r="AK884" s="34"/>
      <c r="AL884" s="34"/>
      <c r="AM884" s="34"/>
      <c r="AN884" s="34"/>
      <c r="AO884" s="34"/>
      <c r="AP884" s="34"/>
      <c r="AQ884" s="34"/>
      <c r="AR884" s="34"/>
      <c r="AS884" s="34"/>
      <c r="AT884" s="34"/>
      <c r="AU884" s="34"/>
      <c r="AV884" s="34"/>
      <c r="AW884" s="34"/>
      <c r="AX884" s="34"/>
      <c r="AY884" s="34"/>
      <c r="AZ884" s="34"/>
    </row>
    <row r="885" spans="1:52" x14ac:dyDescent="0.2">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c r="AF885" s="34"/>
      <c r="AG885" s="34"/>
      <c r="AH885" s="34"/>
      <c r="AI885" s="34"/>
      <c r="AJ885" s="34"/>
      <c r="AK885" s="34"/>
      <c r="AL885" s="34"/>
      <c r="AM885" s="34"/>
      <c r="AN885" s="34"/>
      <c r="AO885" s="34"/>
      <c r="AP885" s="34"/>
      <c r="AQ885" s="34"/>
      <c r="AR885" s="34"/>
      <c r="AS885" s="34"/>
      <c r="AT885" s="34"/>
      <c r="AU885" s="34"/>
      <c r="AV885" s="34"/>
      <c r="AW885" s="34"/>
      <c r="AX885" s="34"/>
      <c r="AY885" s="34"/>
      <c r="AZ885" s="34"/>
    </row>
    <row r="886" spans="1:52" x14ac:dyDescent="0.2">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c r="AF886" s="34"/>
      <c r="AG886" s="34"/>
      <c r="AH886" s="34"/>
      <c r="AI886" s="34"/>
      <c r="AJ886" s="34"/>
      <c r="AK886" s="34"/>
      <c r="AL886" s="34"/>
      <c r="AM886" s="34"/>
      <c r="AN886" s="34"/>
      <c r="AO886" s="34"/>
      <c r="AP886" s="34"/>
      <c r="AQ886" s="34"/>
      <c r="AR886" s="34"/>
      <c r="AS886" s="34"/>
      <c r="AT886" s="34"/>
      <c r="AU886" s="34"/>
      <c r="AV886" s="34"/>
      <c r="AW886" s="34"/>
      <c r="AX886" s="34"/>
      <c r="AY886" s="34"/>
      <c r="AZ886" s="34"/>
    </row>
    <row r="887" spans="1:52" x14ac:dyDescent="0.2">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c r="AF887" s="34"/>
      <c r="AG887" s="34"/>
      <c r="AH887" s="34"/>
      <c r="AI887" s="34"/>
      <c r="AJ887" s="34"/>
      <c r="AK887" s="34"/>
      <c r="AL887" s="34"/>
      <c r="AM887" s="34"/>
      <c r="AN887" s="34"/>
      <c r="AO887" s="34"/>
      <c r="AP887" s="34"/>
      <c r="AQ887" s="34"/>
      <c r="AR887" s="34"/>
      <c r="AS887" s="34"/>
      <c r="AT887" s="34"/>
      <c r="AU887" s="34"/>
      <c r="AV887" s="34"/>
      <c r="AW887" s="34"/>
      <c r="AX887" s="34"/>
      <c r="AY887" s="34"/>
      <c r="AZ887" s="34"/>
    </row>
    <row r="888" spans="1:52" x14ac:dyDescent="0.2">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c r="AF888" s="34"/>
      <c r="AG888" s="34"/>
      <c r="AH888" s="34"/>
      <c r="AI888" s="34"/>
      <c r="AJ888" s="34"/>
      <c r="AK888" s="34"/>
      <c r="AL888" s="34"/>
      <c r="AM888" s="34"/>
      <c r="AN888" s="34"/>
      <c r="AO888" s="34"/>
      <c r="AP888" s="34"/>
      <c r="AQ888" s="34"/>
      <c r="AR888" s="34"/>
      <c r="AS888" s="34"/>
      <c r="AT888" s="34"/>
      <c r="AU888" s="34"/>
      <c r="AV888" s="34"/>
      <c r="AW888" s="34"/>
      <c r="AX888" s="34"/>
      <c r="AY888" s="34"/>
      <c r="AZ888" s="34"/>
    </row>
    <row r="889" spans="1:52" x14ac:dyDescent="0.2">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c r="AF889" s="34"/>
      <c r="AG889" s="34"/>
      <c r="AH889" s="34"/>
      <c r="AI889" s="34"/>
      <c r="AJ889" s="34"/>
      <c r="AK889" s="34"/>
      <c r="AL889" s="34"/>
      <c r="AM889" s="34"/>
      <c r="AN889" s="34"/>
      <c r="AO889" s="34"/>
      <c r="AP889" s="34"/>
      <c r="AQ889" s="34"/>
      <c r="AR889" s="34"/>
      <c r="AS889" s="34"/>
      <c r="AT889" s="34"/>
      <c r="AU889" s="34"/>
      <c r="AV889" s="34"/>
      <c r="AW889" s="34"/>
      <c r="AX889" s="34"/>
      <c r="AY889" s="34"/>
      <c r="AZ889" s="34"/>
    </row>
    <row r="890" spans="1:52" x14ac:dyDescent="0.2">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c r="AF890" s="34"/>
      <c r="AG890" s="34"/>
      <c r="AH890" s="34"/>
      <c r="AI890" s="34"/>
      <c r="AJ890" s="34"/>
      <c r="AK890" s="34"/>
      <c r="AL890" s="34"/>
      <c r="AM890" s="34"/>
      <c r="AN890" s="34"/>
      <c r="AO890" s="34"/>
      <c r="AP890" s="34"/>
      <c r="AQ890" s="34"/>
      <c r="AR890" s="34"/>
      <c r="AS890" s="34"/>
      <c r="AT890" s="34"/>
      <c r="AU890" s="34"/>
      <c r="AV890" s="34"/>
      <c r="AW890" s="34"/>
      <c r="AX890" s="34"/>
      <c r="AY890" s="34"/>
      <c r="AZ890" s="34"/>
    </row>
    <row r="891" spans="1:52" x14ac:dyDescent="0.2">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c r="AF891" s="34"/>
      <c r="AG891" s="34"/>
      <c r="AH891" s="34"/>
      <c r="AI891" s="34"/>
      <c r="AJ891" s="34"/>
      <c r="AK891" s="34"/>
      <c r="AL891" s="34"/>
      <c r="AM891" s="34"/>
      <c r="AN891" s="34"/>
      <c r="AO891" s="34"/>
      <c r="AP891" s="34"/>
      <c r="AQ891" s="34"/>
      <c r="AR891" s="34"/>
      <c r="AS891" s="34"/>
      <c r="AT891" s="34"/>
      <c r="AU891" s="34"/>
      <c r="AV891" s="34"/>
      <c r="AW891" s="34"/>
      <c r="AX891" s="34"/>
      <c r="AY891" s="34"/>
      <c r="AZ891" s="34"/>
    </row>
    <row r="892" spans="1:52" x14ac:dyDescent="0.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c r="AF892" s="34"/>
      <c r="AG892" s="34"/>
      <c r="AH892" s="34"/>
      <c r="AI892" s="34"/>
      <c r="AJ892" s="34"/>
      <c r="AK892" s="34"/>
      <c r="AL892" s="34"/>
      <c r="AM892" s="34"/>
      <c r="AN892" s="34"/>
      <c r="AO892" s="34"/>
      <c r="AP892" s="34"/>
      <c r="AQ892" s="34"/>
      <c r="AR892" s="34"/>
      <c r="AS892" s="34"/>
      <c r="AT892" s="34"/>
      <c r="AU892" s="34"/>
      <c r="AV892" s="34"/>
      <c r="AW892" s="34"/>
      <c r="AX892" s="34"/>
      <c r="AY892" s="34"/>
      <c r="AZ892" s="34"/>
    </row>
    <row r="893" spans="1:52" x14ac:dyDescent="0.2">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c r="AF893" s="34"/>
      <c r="AG893" s="34"/>
      <c r="AH893" s="34"/>
      <c r="AI893" s="34"/>
      <c r="AJ893" s="34"/>
      <c r="AK893" s="34"/>
      <c r="AL893" s="34"/>
      <c r="AM893" s="34"/>
      <c r="AN893" s="34"/>
      <c r="AO893" s="34"/>
      <c r="AP893" s="34"/>
      <c r="AQ893" s="34"/>
      <c r="AR893" s="34"/>
      <c r="AS893" s="34"/>
      <c r="AT893" s="34"/>
      <c r="AU893" s="34"/>
      <c r="AV893" s="34"/>
      <c r="AW893" s="34"/>
      <c r="AX893" s="34"/>
      <c r="AY893" s="34"/>
      <c r="AZ893" s="34"/>
    </row>
    <row r="894" spans="1:52" x14ac:dyDescent="0.2">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c r="AF894" s="34"/>
      <c r="AG894" s="34"/>
      <c r="AH894" s="34"/>
      <c r="AI894" s="34"/>
      <c r="AJ894" s="34"/>
      <c r="AK894" s="34"/>
      <c r="AL894" s="34"/>
      <c r="AM894" s="34"/>
      <c r="AN894" s="34"/>
      <c r="AO894" s="34"/>
      <c r="AP894" s="34"/>
      <c r="AQ894" s="34"/>
      <c r="AR894" s="34"/>
      <c r="AS894" s="34"/>
      <c r="AT894" s="34"/>
      <c r="AU894" s="34"/>
      <c r="AV894" s="34"/>
      <c r="AW894" s="34"/>
      <c r="AX894" s="34"/>
      <c r="AY894" s="34"/>
      <c r="AZ894" s="34"/>
    </row>
    <row r="895" spans="1:52" x14ac:dyDescent="0.2">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c r="AF895" s="34"/>
      <c r="AG895" s="34"/>
      <c r="AH895" s="34"/>
      <c r="AI895" s="34"/>
      <c r="AJ895" s="34"/>
      <c r="AK895" s="34"/>
      <c r="AL895" s="34"/>
      <c r="AM895" s="34"/>
      <c r="AN895" s="34"/>
      <c r="AO895" s="34"/>
      <c r="AP895" s="34"/>
      <c r="AQ895" s="34"/>
      <c r="AR895" s="34"/>
      <c r="AS895" s="34"/>
      <c r="AT895" s="34"/>
      <c r="AU895" s="34"/>
      <c r="AV895" s="34"/>
      <c r="AW895" s="34"/>
      <c r="AX895" s="34"/>
      <c r="AY895" s="34"/>
      <c r="AZ895" s="34"/>
    </row>
    <row r="896" spans="1:52" x14ac:dyDescent="0.2">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c r="AF896" s="34"/>
      <c r="AG896" s="34"/>
      <c r="AH896" s="34"/>
      <c r="AI896" s="34"/>
      <c r="AJ896" s="34"/>
      <c r="AK896" s="34"/>
      <c r="AL896" s="34"/>
      <c r="AM896" s="34"/>
      <c r="AN896" s="34"/>
      <c r="AO896" s="34"/>
      <c r="AP896" s="34"/>
      <c r="AQ896" s="34"/>
      <c r="AR896" s="34"/>
      <c r="AS896" s="34"/>
      <c r="AT896" s="34"/>
      <c r="AU896" s="34"/>
      <c r="AV896" s="34"/>
      <c r="AW896" s="34"/>
      <c r="AX896" s="34"/>
      <c r="AY896" s="34"/>
      <c r="AZ896" s="34"/>
    </row>
    <row r="897" spans="1:52" x14ac:dyDescent="0.2">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c r="AF897" s="34"/>
      <c r="AG897" s="34"/>
      <c r="AH897" s="34"/>
      <c r="AI897" s="34"/>
      <c r="AJ897" s="34"/>
      <c r="AK897" s="34"/>
      <c r="AL897" s="34"/>
      <c r="AM897" s="34"/>
      <c r="AN897" s="34"/>
      <c r="AO897" s="34"/>
      <c r="AP897" s="34"/>
      <c r="AQ897" s="34"/>
      <c r="AR897" s="34"/>
      <c r="AS897" s="34"/>
      <c r="AT897" s="34"/>
      <c r="AU897" s="34"/>
      <c r="AV897" s="34"/>
      <c r="AW897" s="34"/>
      <c r="AX897" s="34"/>
      <c r="AY897" s="34"/>
      <c r="AZ897" s="34"/>
    </row>
    <row r="898" spans="1:52" x14ac:dyDescent="0.2">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c r="AF898" s="34"/>
      <c r="AG898" s="34"/>
      <c r="AH898" s="34"/>
      <c r="AI898" s="34"/>
      <c r="AJ898" s="34"/>
      <c r="AK898" s="34"/>
      <c r="AL898" s="34"/>
      <c r="AM898" s="34"/>
      <c r="AN898" s="34"/>
      <c r="AO898" s="34"/>
      <c r="AP898" s="34"/>
      <c r="AQ898" s="34"/>
      <c r="AR898" s="34"/>
      <c r="AS898" s="34"/>
      <c r="AT898" s="34"/>
      <c r="AU898" s="34"/>
      <c r="AV898" s="34"/>
      <c r="AW898" s="34"/>
      <c r="AX898" s="34"/>
      <c r="AY898" s="34"/>
      <c r="AZ898" s="34"/>
    </row>
    <row r="899" spans="1:52" x14ac:dyDescent="0.2">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c r="AF899" s="34"/>
      <c r="AG899" s="34"/>
      <c r="AH899" s="34"/>
      <c r="AI899" s="34"/>
      <c r="AJ899" s="34"/>
      <c r="AK899" s="34"/>
      <c r="AL899" s="34"/>
      <c r="AM899" s="34"/>
      <c r="AN899" s="34"/>
      <c r="AO899" s="34"/>
      <c r="AP899" s="34"/>
      <c r="AQ899" s="34"/>
      <c r="AR899" s="34"/>
      <c r="AS899" s="34"/>
      <c r="AT899" s="34"/>
      <c r="AU899" s="34"/>
      <c r="AV899" s="34"/>
      <c r="AW899" s="34"/>
      <c r="AX899" s="34"/>
      <c r="AY899" s="34"/>
      <c r="AZ899" s="34"/>
    </row>
    <row r="900" spans="1:52" x14ac:dyDescent="0.2">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c r="AF900" s="34"/>
      <c r="AG900" s="34"/>
      <c r="AH900" s="34"/>
      <c r="AI900" s="34"/>
      <c r="AJ900" s="34"/>
      <c r="AK900" s="34"/>
      <c r="AL900" s="34"/>
      <c r="AM900" s="34"/>
      <c r="AN900" s="34"/>
      <c r="AO900" s="34"/>
      <c r="AP900" s="34"/>
      <c r="AQ900" s="34"/>
      <c r="AR900" s="34"/>
      <c r="AS900" s="34"/>
      <c r="AT900" s="34"/>
      <c r="AU900" s="34"/>
      <c r="AV900" s="34"/>
      <c r="AW900" s="34"/>
      <c r="AX900" s="34"/>
      <c r="AY900" s="34"/>
      <c r="AZ900" s="34"/>
    </row>
    <row r="901" spans="1:52" x14ac:dyDescent="0.2">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c r="AF901" s="34"/>
      <c r="AG901" s="34"/>
      <c r="AH901" s="34"/>
      <c r="AI901" s="34"/>
      <c r="AJ901" s="34"/>
      <c r="AK901" s="34"/>
      <c r="AL901" s="34"/>
      <c r="AM901" s="34"/>
      <c r="AN901" s="34"/>
      <c r="AO901" s="34"/>
      <c r="AP901" s="34"/>
      <c r="AQ901" s="34"/>
      <c r="AR901" s="34"/>
      <c r="AS901" s="34"/>
      <c r="AT901" s="34"/>
      <c r="AU901" s="34"/>
      <c r="AV901" s="34"/>
      <c r="AW901" s="34"/>
      <c r="AX901" s="34"/>
      <c r="AY901" s="34"/>
      <c r="AZ901" s="34"/>
    </row>
    <row r="902" spans="1:52" x14ac:dyDescent="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c r="AF902" s="34"/>
      <c r="AG902" s="34"/>
      <c r="AH902" s="34"/>
      <c r="AI902" s="34"/>
      <c r="AJ902" s="34"/>
      <c r="AK902" s="34"/>
      <c r="AL902" s="34"/>
      <c r="AM902" s="34"/>
      <c r="AN902" s="34"/>
      <c r="AO902" s="34"/>
      <c r="AP902" s="34"/>
      <c r="AQ902" s="34"/>
      <c r="AR902" s="34"/>
      <c r="AS902" s="34"/>
      <c r="AT902" s="34"/>
      <c r="AU902" s="34"/>
      <c r="AV902" s="34"/>
      <c r="AW902" s="34"/>
      <c r="AX902" s="34"/>
      <c r="AY902" s="34"/>
      <c r="AZ902" s="34"/>
    </row>
    <row r="903" spans="1:52" x14ac:dyDescent="0.2">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c r="AF903" s="34"/>
      <c r="AG903" s="34"/>
      <c r="AH903" s="34"/>
      <c r="AI903" s="34"/>
      <c r="AJ903" s="34"/>
      <c r="AK903" s="34"/>
      <c r="AL903" s="34"/>
      <c r="AM903" s="34"/>
      <c r="AN903" s="34"/>
      <c r="AO903" s="34"/>
      <c r="AP903" s="34"/>
      <c r="AQ903" s="34"/>
      <c r="AR903" s="34"/>
      <c r="AS903" s="34"/>
      <c r="AT903" s="34"/>
      <c r="AU903" s="34"/>
      <c r="AV903" s="34"/>
      <c r="AW903" s="34"/>
      <c r="AX903" s="34"/>
      <c r="AY903" s="34"/>
      <c r="AZ903" s="34"/>
    </row>
    <row r="904" spans="1:52" x14ac:dyDescent="0.2">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c r="AF904" s="34"/>
      <c r="AG904" s="34"/>
      <c r="AH904" s="34"/>
      <c r="AI904" s="34"/>
      <c r="AJ904" s="34"/>
      <c r="AK904" s="34"/>
      <c r="AL904" s="34"/>
      <c r="AM904" s="34"/>
      <c r="AN904" s="34"/>
      <c r="AO904" s="34"/>
      <c r="AP904" s="34"/>
      <c r="AQ904" s="34"/>
      <c r="AR904" s="34"/>
      <c r="AS904" s="34"/>
      <c r="AT904" s="34"/>
      <c r="AU904" s="34"/>
      <c r="AV904" s="34"/>
      <c r="AW904" s="34"/>
      <c r="AX904" s="34"/>
      <c r="AY904" s="34"/>
      <c r="AZ904" s="34"/>
    </row>
    <row r="905" spans="1:52" x14ac:dyDescent="0.2">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c r="AF905" s="34"/>
      <c r="AG905" s="34"/>
      <c r="AH905" s="34"/>
      <c r="AI905" s="34"/>
      <c r="AJ905" s="34"/>
      <c r="AK905" s="34"/>
      <c r="AL905" s="34"/>
      <c r="AM905" s="34"/>
      <c r="AN905" s="34"/>
      <c r="AO905" s="34"/>
      <c r="AP905" s="34"/>
      <c r="AQ905" s="34"/>
      <c r="AR905" s="34"/>
      <c r="AS905" s="34"/>
      <c r="AT905" s="34"/>
      <c r="AU905" s="34"/>
      <c r="AV905" s="34"/>
      <c r="AW905" s="34"/>
      <c r="AX905" s="34"/>
      <c r="AY905" s="34"/>
      <c r="AZ905" s="34"/>
    </row>
    <row r="906" spans="1:52" x14ac:dyDescent="0.2">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c r="AF906" s="34"/>
      <c r="AG906" s="34"/>
      <c r="AH906" s="34"/>
      <c r="AI906" s="34"/>
      <c r="AJ906" s="34"/>
      <c r="AK906" s="34"/>
      <c r="AL906" s="34"/>
      <c r="AM906" s="34"/>
      <c r="AN906" s="34"/>
      <c r="AO906" s="34"/>
      <c r="AP906" s="34"/>
      <c r="AQ906" s="34"/>
      <c r="AR906" s="34"/>
      <c r="AS906" s="34"/>
      <c r="AT906" s="34"/>
      <c r="AU906" s="34"/>
      <c r="AV906" s="34"/>
      <c r="AW906" s="34"/>
      <c r="AX906" s="34"/>
      <c r="AY906" s="34"/>
      <c r="AZ906" s="34"/>
    </row>
    <row r="907" spans="1:52" x14ac:dyDescent="0.2">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c r="AF907" s="34"/>
      <c r="AG907" s="34"/>
      <c r="AH907" s="34"/>
      <c r="AI907" s="34"/>
      <c r="AJ907" s="34"/>
      <c r="AK907" s="34"/>
      <c r="AL907" s="34"/>
      <c r="AM907" s="34"/>
      <c r="AN907" s="34"/>
      <c r="AO907" s="34"/>
      <c r="AP907" s="34"/>
      <c r="AQ907" s="34"/>
      <c r="AR907" s="34"/>
      <c r="AS907" s="34"/>
      <c r="AT907" s="34"/>
      <c r="AU907" s="34"/>
      <c r="AV907" s="34"/>
      <c r="AW907" s="34"/>
      <c r="AX907" s="34"/>
      <c r="AY907" s="34"/>
      <c r="AZ907" s="34"/>
    </row>
    <row r="908" spans="1:52" x14ac:dyDescent="0.2">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c r="AF908" s="34"/>
      <c r="AG908" s="34"/>
      <c r="AH908" s="34"/>
      <c r="AI908" s="34"/>
      <c r="AJ908" s="34"/>
      <c r="AK908" s="34"/>
      <c r="AL908" s="34"/>
      <c r="AM908" s="34"/>
      <c r="AN908" s="34"/>
      <c r="AO908" s="34"/>
      <c r="AP908" s="34"/>
      <c r="AQ908" s="34"/>
      <c r="AR908" s="34"/>
      <c r="AS908" s="34"/>
      <c r="AT908" s="34"/>
      <c r="AU908" s="34"/>
      <c r="AV908" s="34"/>
      <c r="AW908" s="34"/>
      <c r="AX908" s="34"/>
      <c r="AY908" s="34"/>
      <c r="AZ908" s="34"/>
    </row>
    <row r="909" spans="1:52" x14ac:dyDescent="0.2">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c r="AF909" s="34"/>
      <c r="AG909" s="34"/>
      <c r="AH909" s="34"/>
      <c r="AI909" s="34"/>
      <c r="AJ909" s="34"/>
      <c r="AK909" s="34"/>
      <c r="AL909" s="34"/>
      <c r="AM909" s="34"/>
      <c r="AN909" s="34"/>
      <c r="AO909" s="34"/>
      <c r="AP909" s="34"/>
      <c r="AQ909" s="34"/>
      <c r="AR909" s="34"/>
      <c r="AS909" s="34"/>
      <c r="AT909" s="34"/>
      <c r="AU909" s="34"/>
      <c r="AV909" s="34"/>
      <c r="AW909" s="34"/>
      <c r="AX909" s="34"/>
      <c r="AY909" s="34"/>
      <c r="AZ909" s="34"/>
    </row>
    <row r="910" spans="1:52" x14ac:dyDescent="0.2">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c r="AF910" s="34"/>
      <c r="AG910" s="34"/>
      <c r="AH910" s="34"/>
      <c r="AI910" s="34"/>
      <c r="AJ910" s="34"/>
      <c r="AK910" s="34"/>
      <c r="AL910" s="34"/>
      <c r="AM910" s="34"/>
      <c r="AN910" s="34"/>
      <c r="AO910" s="34"/>
      <c r="AP910" s="34"/>
      <c r="AQ910" s="34"/>
      <c r="AR910" s="34"/>
      <c r="AS910" s="34"/>
      <c r="AT910" s="34"/>
      <c r="AU910" s="34"/>
      <c r="AV910" s="34"/>
      <c r="AW910" s="34"/>
      <c r="AX910" s="34"/>
      <c r="AY910" s="34"/>
      <c r="AZ910" s="34"/>
    </row>
    <row r="911" spans="1:52" x14ac:dyDescent="0.2">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c r="AF911" s="34"/>
      <c r="AG911" s="34"/>
      <c r="AH911" s="34"/>
      <c r="AI911" s="34"/>
      <c r="AJ911" s="34"/>
      <c r="AK911" s="34"/>
      <c r="AL911" s="34"/>
      <c r="AM911" s="34"/>
      <c r="AN911" s="34"/>
      <c r="AO911" s="34"/>
      <c r="AP911" s="34"/>
      <c r="AQ911" s="34"/>
      <c r="AR911" s="34"/>
      <c r="AS911" s="34"/>
      <c r="AT911" s="34"/>
      <c r="AU911" s="34"/>
      <c r="AV911" s="34"/>
      <c r="AW911" s="34"/>
      <c r="AX911" s="34"/>
      <c r="AY911" s="34"/>
      <c r="AZ911" s="34"/>
    </row>
    <row r="912" spans="1:52" x14ac:dyDescent="0.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c r="AF912" s="34"/>
      <c r="AG912" s="34"/>
      <c r="AH912" s="34"/>
      <c r="AI912" s="34"/>
      <c r="AJ912" s="34"/>
      <c r="AK912" s="34"/>
      <c r="AL912" s="34"/>
      <c r="AM912" s="34"/>
      <c r="AN912" s="34"/>
      <c r="AO912" s="34"/>
      <c r="AP912" s="34"/>
      <c r="AQ912" s="34"/>
      <c r="AR912" s="34"/>
      <c r="AS912" s="34"/>
      <c r="AT912" s="34"/>
      <c r="AU912" s="34"/>
      <c r="AV912" s="34"/>
      <c r="AW912" s="34"/>
      <c r="AX912" s="34"/>
      <c r="AY912" s="34"/>
      <c r="AZ912" s="34"/>
    </row>
    <row r="913" spans="1:52" x14ac:dyDescent="0.2">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c r="AF913" s="34"/>
      <c r="AG913" s="34"/>
      <c r="AH913" s="34"/>
      <c r="AI913" s="34"/>
      <c r="AJ913" s="34"/>
      <c r="AK913" s="34"/>
      <c r="AL913" s="34"/>
      <c r="AM913" s="34"/>
      <c r="AN913" s="34"/>
      <c r="AO913" s="34"/>
      <c r="AP913" s="34"/>
      <c r="AQ913" s="34"/>
      <c r="AR913" s="34"/>
      <c r="AS913" s="34"/>
      <c r="AT913" s="34"/>
      <c r="AU913" s="34"/>
      <c r="AV913" s="34"/>
      <c r="AW913" s="34"/>
      <c r="AX913" s="34"/>
      <c r="AY913" s="34"/>
      <c r="AZ913" s="34"/>
    </row>
    <row r="914" spans="1:52" x14ac:dyDescent="0.2">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c r="AF914" s="34"/>
      <c r="AG914" s="34"/>
      <c r="AH914" s="34"/>
      <c r="AI914" s="34"/>
      <c r="AJ914" s="34"/>
      <c r="AK914" s="34"/>
      <c r="AL914" s="34"/>
      <c r="AM914" s="34"/>
      <c r="AN914" s="34"/>
      <c r="AO914" s="34"/>
      <c r="AP914" s="34"/>
      <c r="AQ914" s="34"/>
      <c r="AR914" s="34"/>
      <c r="AS914" s="34"/>
      <c r="AT914" s="34"/>
      <c r="AU914" s="34"/>
      <c r="AV914" s="34"/>
      <c r="AW914" s="34"/>
      <c r="AX914" s="34"/>
      <c r="AY914" s="34"/>
      <c r="AZ914" s="34"/>
    </row>
    <row r="915" spans="1:52" x14ac:dyDescent="0.2">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c r="AF915" s="34"/>
      <c r="AG915" s="34"/>
      <c r="AH915" s="34"/>
      <c r="AI915" s="34"/>
      <c r="AJ915" s="34"/>
      <c r="AK915" s="34"/>
      <c r="AL915" s="34"/>
      <c r="AM915" s="34"/>
      <c r="AN915" s="34"/>
      <c r="AO915" s="34"/>
      <c r="AP915" s="34"/>
      <c r="AQ915" s="34"/>
      <c r="AR915" s="34"/>
      <c r="AS915" s="34"/>
      <c r="AT915" s="34"/>
      <c r="AU915" s="34"/>
      <c r="AV915" s="34"/>
      <c r="AW915" s="34"/>
      <c r="AX915" s="34"/>
      <c r="AY915" s="34"/>
      <c r="AZ915" s="34"/>
    </row>
    <row r="916" spans="1:52" x14ac:dyDescent="0.2">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c r="AF916" s="34"/>
      <c r="AG916" s="34"/>
      <c r="AH916" s="34"/>
      <c r="AI916" s="34"/>
      <c r="AJ916" s="34"/>
      <c r="AK916" s="34"/>
      <c r="AL916" s="34"/>
      <c r="AM916" s="34"/>
      <c r="AN916" s="34"/>
      <c r="AO916" s="34"/>
      <c r="AP916" s="34"/>
      <c r="AQ916" s="34"/>
      <c r="AR916" s="34"/>
      <c r="AS916" s="34"/>
      <c r="AT916" s="34"/>
      <c r="AU916" s="34"/>
      <c r="AV916" s="34"/>
      <c r="AW916" s="34"/>
      <c r="AX916" s="34"/>
      <c r="AY916" s="34"/>
      <c r="AZ916" s="34"/>
    </row>
    <row r="917" spans="1:52" x14ac:dyDescent="0.2">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c r="AF917" s="34"/>
      <c r="AG917" s="34"/>
      <c r="AH917" s="34"/>
      <c r="AI917" s="34"/>
      <c r="AJ917" s="34"/>
      <c r="AK917" s="34"/>
      <c r="AL917" s="34"/>
      <c r="AM917" s="34"/>
      <c r="AN917" s="34"/>
      <c r="AO917" s="34"/>
      <c r="AP917" s="34"/>
      <c r="AQ917" s="34"/>
      <c r="AR917" s="34"/>
      <c r="AS917" s="34"/>
      <c r="AT917" s="34"/>
      <c r="AU917" s="34"/>
      <c r="AV917" s="34"/>
      <c r="AW917" s="34"/>
      <c r="AX917" s="34"/>
      <c r="AY917" s="34"/>
      <c r="AZ917" s="34"/>
    </row>
    <row r="918" spans="1:52" x14ac:dyDescent="0.2">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c r="AF918" s="34"/>
      <c r="AG918" s="34"/>
      <c r="AH918" s="34"/>
      <c r="AI918" s="34"/>
      <c r="AJ918" s="34"/>
      <c r="AK918" s="34"/>
      <c r="AL918" s="34"/>
      <c r="AM918" s="34"/>
      <c r="AN918" s="34"/>
      <c r="AO918" s="34"/>
      <c r="AP918" s="34"/>
      <c r="AQ918" s="34"/>
      <c r="AR918" s="34"/>
      <c r="AS918" s="34"/>
      <c r="AT918" s="34"/>
      <c r="AU918" s="34"/>
      <c r="AV918" s="34"/>
      <c r="AW918" s="34"/>
      <c r="AX918" s="34"/>
      <c r="AY918" s="34"/>
      <c r="AZ918" s="34"/>
    </row>
    <row r="919" spans="1:52" x14ac:dyDescent="0.2">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c r="AF919" s="34"/>
      <c r="AG919" s="34"/>
      <c r="AH919" s="34"/>
      <c r="AI919" s="34"/>
      <c r="AJ919" s="34"/>
      <c r="AK919" s="34"/>
      <c r="AL919" s="34"/>
      <c r="AM919" s="34"/>
      <c r="AN919" s="34"/>
      <c r="AO919" s="34"/>
      <c r="AP919" s="34"/>
      <c r="AQ919" s="34"/>
      <c r="AR919" s="34"/>
      <c r="AS919" s="34"/>
      <c r="AT919" s="34"/>
      <c r="AU919" s="34"/>
      <c r="AV919" s="34"/>
      <c r="AW919" s="34"/>
      <c r="AX919" s="34"/>
      <c r="AY919" s="34"/>
      <c r="AZ919" s="34"/>
    </row>
    <row r="920" spans="1:52" x14ac:dyDescent="0.2">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c r="AF920" s="34"/>
      <c r="AG920" s="34"/>
      <c r="AH920" s="34"/>
      <c r="AI920" s="34"/>
      <c r="AJ920" s="34"/>
      <c r="AK920" s="34"/>
      <c r="AL920" s="34"/>
      <c r="AM920" s="34"/>
      <c r="AN920" s="34"/>
      <c r="AO920" s="34"/>
      <c r="AP920" s="34"/>
      <c r="AQ920" s="34"/>
      <c r="AR920" s="34"/>
      <c r="AS920" s="34"/>
      <c r="AT920" s="34"/>
      <c r="AU920" s="34"/>
      <c r="AV920" s="34"/>
      <c r="AW920" s="34"/>
      <c r="AX920" s="34"/>
      <c r="AY920" s="34"/>
      <c r="AZ920" s="34"/>
    </row>
    <row r="921" spans="1:52" x14ac:dyDescent="0.2">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c r="AF921" s="34"/>
      <c r="AG921" s="34"/>
      <c r="AH921" s="34"/>
      <c r="AI921" s="34"/>
      <c r="AJ921" s="34"/>
      <c r="AK921" s="34"/>
      <c r="AL921" s="34"/>
      <c r="AM921" s="34"/>
      <c r="AN921" s="34"/>
      <c r="AO921" s="34"/>
      <c r="AP921" s="34"/>
      <c r="AQ921" s="34"/>
      <c r="AR921" s="34"/>
      <c r="AS921" s="34"/>
      <c r="AT921" s="34"/>
      <c r="AU921" s="34"/>
      <c r="AV921" s="34"/>
      <c r="AW921" s="34"/>
      <c r="AX921" s="34"/>
      <c r="AY921" s="34"/>
      <c r="AZ921" s="34"/>
    </row>
    <row r="922" spans="1:52" x14ac:dyDescent="0.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c r="AF922" s="34"/>
      <c r="AG922" s="34"/>
      <c r="AH922" s="34"/>
      <c r="AI922" s="34"/>
      <c r="AJ922" s="34"/>
      <c r="AK922" s="34"/>
      <c r="AL922" s="34"/>
      <c r="AM922" s="34"/>
      <c r="AN922" s="34"/>
      <c r="AO922" s="34"/>
      <c r="AP922" s="34"/>
      <c r="AQ922" s="34"/>
      <c r="AR922" s="34"/>
      <c r="AS922" s="34"/>
      <c r="AT922" s="34"/>
      <c r="AU922" s="34"/>
      <c r="AV922" s="34"/>
      <c r="AW922" s="34"/>
      <c r="AX922" s="34"/>
      <c r="AY922" s="34"/>
      <c r="AZ922" s="34"/>
    </row>
    <row r="923" spans="1:52" x14ac:dyDescent="0.2">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c r="AF923" s="34"/>
      <c r="AG923" s="34"/>
      <c r="AH923" s="34"/>
      <c r="AI923" s="34"/>
      <c r="AJ923" s="34"/>
      <c r="AK923" s="34"/>
      <c r="AL923" s="34"/>
      <c r="AM923" s="34"/>
      <c r="AN923" s="34"/>
      <c r="AO923" s="34"/>
      <c r="AP923" s="34"/>
      <c r="AQ923" s="34"/>
      <c r="AR923" s="34"/>
      <c r="AS923" s="34"/>
      <c r="AT923" s="34"/>
      <c r="AU923" s="34"/>
      <c r="AV923" s="34"/>
      <c r="AW923" s="34"/>
      <c r="AX923" s="34"/>
      <c r="AY923" s="34"/>
      <c r="AZ923" s="34"/>
    </row>
    <row r="924" spans="1:52" x14ac:dyDescent="0.2">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c r="AF924" s="34"/>
      <c r="AG924" s="34"/>
      <c r="AH924" s="34"/>
      <c r="AI924" s="34"/>
      <c r="AJ924" s="34"/>
      <c r="AK924" s="34"/>
      <c r="AL924" s="34"/>
      <c r="AM924" s="34"/>
      <c r="AN924" s="34"/>
      <c r="AO924" s="34"/>
      <c r="AP924" s="34"/>
      <c r="AQ924" s="34"/>
      <c r="AR924" s="34"/>
      <c r="AS924" s="34"/>
      <c r="AT924" s="34"/>
      <c r="AU924" s="34"/>
      <c r="AV924" s="34"/>
      <c r="AW924" s="34"/>
      <c r="AX924" s="34"/>
      <c r="AY924" s="34"/>
      <c r="AZ924" s="34"/>
    </row>
    <row r="925" spans="1:52" x14ac:dyDescent="0.2">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c r="AF925" s="34"/>
      <c r="AG925" s="34"/>
      <c r="AH925" s="34"/>
      <c r="AI925" s="34"/>
      <c r="AJ925" s="34"/>
      <c r="AK925" s="34"/>
      <c r="AL925" s="34"/>
      <c r="AM925" s="34"/>
      <c r="AN925" s="34"/>
      <c r="AO925" s="34"/>
      <c r="AP925" s="34"/>
      <c r="AQ925" s="34"/>
      <c r="AR925" s="34"/>
      <c r="AS925" s="34"/>
      <c r="AT925" s="34"/>
      <c r="AU925" s="34"/>
      <c r="AV925" s="34"/>
      <c r="AW925" s="34"/>
      <c r="AX925" s="34"/>
      <c r="AY925" s="34"/>
      <c r="AZ925" s="34"/>
    </row>
    <row r="926" spans="1:52" x14ac:dyDescent="0.2">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c r="AF926" s="34"/>
      <c r="AG926" s="34"/>
      <c r="AH926" s="34"/>
      <c r="AI926" s="34"/>
      <c r="AJ926" s="34"/>
      <c r="AK926" s="34"/>
      <c r="AL926" s="34"/>
      <c r="AM926" s="34"/>
      <c r="AN926" s="34"/>
      <c r="AO926" s="34"/>
      <c r="AP926" s="34"/>
      <c r="AQ926" s="34"/>
      <c r="AR926" s="34"/>
      <c r="AS926" s="34"/>
      <c r="AT926" s="34"/>
      <c r="AU926" s="34"/>
      <c r="AV926" s="34"/>
      <c r="AW926" s="34"/>
      <c r="AX926" s="34"/>
      <c r="AY926" s="34"/>
      <c r="AZ926" s="34"/>
    </row>
    <row r="927" spans="1:52" x14ac:dyDescent="0.2">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c r="AF927" s="34"/>
      <c r="AG927" s="34"/>
      <c r="AH927" s="34"/>
      <c r="AI927" s="34"/>
      <c r="AJ927" s="34"/>
      <c r="AK927" s="34"/>
      <c r="AL927" s="34"/>
      <c r="AM927" s="34"/>
      <c r="AN927" s="34"/>
      <c r="AO927" s="34"/>
      <c r="AP927" s="34"/>
      <c r="AQ927" s="34"/>
      <c r="AR927" s="34"/>
      <c r="AS927" s="34"/>
      <c r="AT927" s="34"/>
      <c r="AU927" s="34"/>
      <c r="AV927" s="34"/>
      <c r="AW927" s="34"/>
      <c r="AX927" s="34"/>
      <c r="AY927" s="34"/>
      <c r="AZ927" s="34"/>
    </row>
    <row r="928" spans="1:52" x14ac:dyDescent="0.2">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c r="AF928" s="34"/>
      <c r="AG928" s="34"/>
      <c r="AH928" s="34"/>
      <c r="AI928" s="34"/>
      <c r="AJ928" s="34"/>
      <c r="AK928" s="34"/>
      <c r="AL928" s="34"/>
      <c r="AM928" s="34"/>
      <c r="AN928" s="34"/>
      <c r="AO928" s="34"/>
      <c r="AP928" s="34"/>
      <c r="AQ928" s="34"/>
      <c r="AR928" s="34"/>
      <c r="AS928" s="34"/>
      <c r="AT928" s="34"/>
      <c r="AU928" s="34"/>
      <c r="AV928" s="34"/>
      <c r="AW928" s="34"/>
      <c r="AX928" s="34"/>
      <c r="AY928" s="34"/>
      <c r="AZ928" s="34"/>
    </row>
    <row r="929" spans="1:52" x14ac:dyDescent="0.2">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c r="AF929" s="34"/>
      <c r="AG929" s="34"/>
      <c r="AH929" s="34"/>
      <c r="AI929" s="34"/>
      <c r="AJ929" s="34"/>
      <c r="AK929" s="34"/>
      <c r="AL929" s="34"/>
      <c r="AM929" s="34"/>
      <c r="AN929" s="34"/>
      <c r="AO929" s="34"/>
      <c r="AP929" s="34"/>
      <c r="AQ929" s="34"/>
      <c r="AR929" s="34"/>
      <c r="AS929" s="34"/>
      <c r="AT929" s="34"/>
      <c r="AU929" s="34"/>
      <c r="AV929" s="34"/>
      <c r="AW929" s="34"/>
      <c r="AX929" s="34"/>
      <c r="AY929" s="34"/>
      <c r="AZ929" s="34"/>
    </row>
    <row r="930" spans="1:52" x14ac:dyDescent="0.2">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c r="AF930" s="34"/>
      <c r="AG930" s="34"/>
      <c r="AH930" s="34"/>
      <c r="AI930" s="34"/>
      <c r="AJ930" s="34"/>
      <c r="AK930" s="34"/>
      <c r="AL930" s="34"/>
      <c r="AM930" s="34"/>
      <c r="AN930" s="34"/>
      <c r="AO930" s="34"/>
      <c r="AP930" s="34"/>
      <c r="AQ930" s="34"/>
      <c r="AR930" s="34"/>
      <c r="AS930" s="34"/>
      <c r="AT930" s="34"/>
      <c r="AU930" s="34"/>
      <c r="AV930" s="34"/>
      <c r="AW930" s="34"/>
      <c r="AX930" s="34"/>
      <c r="AY930" s="34"/>
      <c r="AZ930" s="34"/>
    </row>
    <row r="931" spans="1:52" x14ac:dyDescent="0.2">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c r="AF931" s="34"/>
      <c r="AG931" s="34"/>
      <c r="AH931" s="34"/>
      <c r="AI931" s="34"/>
      <c r="AJ931" s="34"/>
      <c r="AK931" s="34"/>
      <c r="AL931" s="34"/>
      <c r="AM931" s="34"/>
      <c r="AN931" s="34"/>
      <c r="AO931" s="34"/>
      <c r="AP931" s="34"/>
      <c r="AQ931" s="34"/>
      <c r="AR931" s="34"/>
      <c r="AS931" s="34"/>
      <c r="AT931" s="34"/>
      <c r="AU931" s="34"/>
      <c r="AV931" s="34"/>
      <c r="AW931" s="34"/>
      <c r="AX931" s="34"/>
      <c r="AY931" s="34"/>
      <c r="AZ931" s="34"/>
    </row>
    <row r="932" spans="1:52" x14ac:dyDescent="0.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c r="AF932" s="34"/>
      <c r="AG932" s="34"/>
      <c r="AH932" s="34"/>
      <c r="AI932" s="34"/>
      <c r="AJ932" s="34"/>
      <c r="AK932" s="34"/>
      <c r="AL932" s="34"/>
      <c r="AM932" s="34"/>
      <c r="AN932" s="34"/>
      <c r="AO932" s="34"/>
      <c r="AP932" s="34"/>
      <c r="AQ932" s="34"/>
      <c r="AR932" s="34"/>
      <c r="AS932" s="34"/>
      <c r="AT932" s="34"/>
      <c r="AU932" s="34"/>
      <c r="AV932" s="34"/>
      <c r="AW932" s="34"/>
      <c r="AX932" s="34"/>
      <c r="AY932" s="34"/>
      <c r="AZ932" s="34"/>
    </row>
    <row r="933" spans="1:52" x14ac:dyDescent="0.2">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c r="AF933" s="34"/>
      <c r="AG933" s="34"/>
      <c r="AH933" s="34"/>
      <c r="AI933" s="34"/>
      <c r="AJ933" s="34"/>
      <c r="AK933" s="34"/>
      <c r="AL933" s="34"/>
      <c r="AM933" s="34"/>
      <c r="AN933" s="34"/>
      <c r="AO933" s="34"/>
      <c r="AP933" s="34"/>
      <c r="AQ933" s="34"/>
      <c r="AR933" s="34"/>
      <c r="AS933" s="34"/>
      <c r="AT933" s="34"/>
      <c r="AU933" s="34"/>
      <c r="AV933" s="34"/>
      <c r="AW933" s="34"/>
      <c r="AX933" s="34"/>
      <c r="AY933" s="34"/>
      <c r="AZ933" s="34"/>
    </row>
    <row r="934" spans="1:52" x14ac:dyDescent="0.2">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c r="AF934" s="34"/>
      <c r="AG934" s="34"/>
      <c r="AH934" s="34"/>
      <c r="AI934" s="34"/>
      <c r="AJ934" s="34"/>
      <c r="AK934" s="34"/>
      <c r="AL934" s="34"/>
      <c r="AM934" s="34"/>
      <c r="AN934" s="34"/>
      <c r="AO934" s="34"/>
      <c r="AP934" s="34"/>
      <c r="AQ934" s="34"/>
      <c r="AR934" s="34"/>
      <c r="AS934" s="34"/>
      <c r="AT934" s="34"/>
      <c r="AU934" s="34"/>
      <c r="AV934" s="34"/>
      <c r="AW934" s="34"/>
      <c r="AX934" s="34"/>
      <c r="AY934" s="34"/>
      <c r="AZ934" s="34"/>
    </row>
    <row r="935" spans="1:52" x14ac:dyDescent="0.2">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c r="AF935" s="34"/>
      <c r="AG935" s="34"/>
      <c r="AH935" s="34"/>
      <c r="AI935" s="34"/>
      <c r="AJ935" s="34"/>
      <c r="AK935" s="34"/>
      <c r="AL935" s="34"/>
      <c r="AM935" s="34"/>
      <c r="AN935" s="34"/>
      <c r="AO935" s="34"/>
      <c r="AP935" s="34"/>
      <c r="AQ935" s="34"/>
      <c r="AR935" s="34"/>
      <c r="AS935" s="34"/>
      <c r="AT935" s="34"/>
      <c r="AU935" s="34"/>
      <c r="AV935" s="34"/>
      <c r="AW935" s="34"/>
      <c r="AX935" s="34"/>
      <c r="AY935" s="34"/>
      <c r="AZ935" s="34"/>
    </row>
    <row r="936" spans="1:52" x14ac:dyDescent="0.2">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c r="AF936" s="34"/>
      <c r="AG936" s="34"/>
      <c r="AH936" s="34"/>
      <c r="AI936" s="34"/>
      <c r="AJ936" s="34"/>
      <c r="AK936" s="34"/>
      <c r="AL936" s="34"/>
      <c r="AM936" s="34"/>
      <c r="AN936" s="34"/>
      <c r="AO936" s="34"/>
      <c r="AP936" s="34"/>
      <c r="AQ936" s="34"/>
      <c r="AR936" s="34"/>
      <c r="AS936" s="34"/>
      <c r="AT936" s="34"/>
      <c r="AU936" s="34"/>
      <c r="AV936" s="34"/>
      <c r="AW936" s="34"/>
      <c r="AX936" s="34"/>
      <c r="AY936" s="34"/>
      <c r="AZ936" s="34"/>
    </row>
    <row r="937" spans="1:52" x14ac:dyDescent="0.2">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c r="AF937" s="34"/>
      <c r="AG937" s="34"/>
      <c r="AH937" s="34"/>
      <c r="AI937" s="34"/>
      <c r="AJ937" s="34"/>
      <c r="AK937" s="34"/>
      <c r="AL937" s="34"/>
      <c r="AM937" s="34"/>
      <c r="AN937" s="34"/>
      <c r="AO937" s="34"/>
      <c r="AP937" s="34"/>
      <c r="AQ937" s="34"/>
      <c r="AR937" s="34"/>
      <c r="AS937" s="34"/>
      <c r="AT937" s="34"/>
      <c r="AU937" s="34"/>
      <c r="AV937" s="34"/>
      <c r="AW937" s="34"/>
      <c r="AX937" s="34"/>
      <c r="AY937" s="34"/>
      <c r="AZ937" s="34"/>
    </row>
    <row r="938" spans="1:52" x14ac:dyDescent="0.2">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c r="AF938" s="34"/>
      <c r="AG938" s="34"/>
      <c r="AH938" s="34"/>
      <c r="AI938" s="34"/>
      <c r="AJ938" s="34"/>
      <c r="AK938" s="34"/>
      <c r="AL938" s="34"/>
      <c r="AM938" s="34"/>
      <c r="AN938" s="34"/>
      <c r="AO938" s="34"/>
      <c r="AP938" s="34"/>
      <c r="AQ938" s="34"/>
      <c r="AR938" s="34"/>
      <c r="AS938" s="34"/>
      <c r="AT938" s="34"/>
      <c r="AU938" s="34"/>
      <c r="AV938" s="34"/>
      <c r="AW938" s="34"/>
      <c r="AX938" s="34"/>
      <c r="AY938" s="34"/>
      <c r="AZ938" s="34"/>
    </row>
    <row r="939" spans="1:52" x14ac:dyDescent="0.2">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c r="AF939" s="34"/>
      <c r="AG939" s="34"/>
      <c r="AH939" s="34"/>
      <c r="AI939" s="34"/>
      <c r="AJ939" s="34"/>
      <c r="AK939" s="34"/>
      <c r="AL939" s="34"/>
      <c r="AM939" s="34"/>
      <c r="AN939" s="34"/>
      <c r="AO939" s="34"/>
      <c r="AP939" s="34"/>
      <c r="AQ939" s="34"/>
      <c r="AR939" s="34"/>
      <c r="AS939" s="34"/>
      <c r="AT939" s="34"/>
      <c r="AU939" s="34"/>
      <c r="AV939" s="34"/>
      <c r="AW939" s="34"/>
      <c r="AX939" s="34"/>
      <c r="AY939" s="34"/>
      <c r="AZ939" s="34"/>
    </row>
    <row r="940" spans="1:52" x14ac:dyDescent="0.2">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c r="AF940" s="34"/>
      <c r="AG940" s="34"/>
      <c r="AH940" s="34"/>
      <c r="AI940" s="34"/>
      <c r="AJ940" s="34"/>
      <c r="AK940" s="34"/>
      <c r="AL940" s="34"/>
      <c r="AM940" s="34"/>
      <c r="AN940" s="34"/>
      <c r="AO940" s="34"/>
      <c r="AP940" s="34"/>
      <c r="AQ940" s="34"/>
      <c r="AR940" s="34"/>
      <c r="AS940" s="34"/>
      <c r="AT940" s="34"/>
      <c r="AU940" s="34"/>
      <c r="AV940" s="34"/>
      <c r="AW940" s="34"/>
      <c r="AX940" s="34"/>
      <c r="AY940" s="34"/>
      <c r="AZ940" s="34"/>
    </row>
    <row r="941" spans="1:52" x14ac:dyDescent="0.2">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c r="AF941" s="34"/>
      <c r="AG941" s="34"/>
      <c r="AH941" s="34"/>
      <c r="AI941" s="34"/>
      <c r="AJ941" s="34"/>
      <c r="AK941" s="34"/>
      <c r="AL941" s="34"/>
      <c r="AM941" s="34"/>
      <c r="AN941" s="34"/>
      <c r="AO941" s="34"/>
      <c r="AP941" s="34"/>
      <c r="AQ941" s="34"/>
      <c r="AR941" s="34"/>
      <c r="AS941" s="34"/>
      <c r="AT941" s="34"/>
      <c r="AU941" s="34"/>
      <c r="AV941" s="34"/>
      <c r="AW941" s="34"/>
      <c r="AX941" s="34"/>
      <c r="AY941" s="34"/>
      <c r="AZ941" s="34"/>
    </row>
    <row r="942" spans="1:52" x14ac:dyDescent="0.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c r="AF942" s="34"/>
      <c r="AG942" s="34"/>
      <c r="AH942" s="34"/>
      <c r="AI942" s="34"/>
      <c r="AJ942" s="34"/>
      <c r="AK942" s="34"/>
      <c r="AL942" s="34"/>
      <c r="AM942" s="34"/>
      <c r="AN942" s="34"/>
      <c r="AO942" s="34"/>
      <c r="AP942" s="34"/>
      <c r="AQ942" s="34"/>
      <c r="AR942" s="34"/>
      <c r="AS942" s="34"/>
      <c r="AT942" s="34"/>
      <c r="AU942" s="34"/>
      <c r="AV942" s="34"/>
      <c r="AW942" s="34"/>
      <c r="AX942" s="34"/>
      <c r="AY942" s="34"/>
      <c r="AZ942" s="34"/>
    </row>
    <row r="943" spans="1:52" x14ac:dyDescent="0.2">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c r="AF943" s="34"/>
      <c r="AG943" s="34"/>
      <c r="AH943" s="34"/>
      <c r="AI943" s="34"/>
      <c r="AJ943" s="34"/>
      <c r="AK943" s="34"/>
      <c r="AL943" s="34"/>
      <c r="AM943" s="34"/>
      <c r="AN943" s="34"/>
      <c r="AO943" s="34"/>
      <c r="AP943" s="34"/>
      <c r="AQ943" s="34"/>
      <c r="AR943" s="34"/>
      <c r="AS943" s="34"/>
      <c r="AT943" s="34"/>
      <c r="AU943" s="34"/>
      <c r="AV943" s="34"/>
      <c r="AW943" s="34"/>
      <c r="AX943" s="34"/>
      <c r="AY943" s="34"/>
      <c r="AZ943" s="34"/>
    </row>
    <row r="944" spans="1:52" x14ac:dyDescent="0.2">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c r="AF944" s="34"/>
      <c r="AG944" s="34"/>
      <c r="AH944" s="34"/>
      <c r="AI944" s="34"/>
      <c r="AJ944" s="34"/>
      <c r="AK944" s="34"/>
      <c r="AL944" s="34"/>
      <c r="AM944" s="34"/>
      <c r="AN944" s="34"/>
      <c r="AO944" s="34"/>
      <c r="AP944" s="34"/>
      <c r="AQ944" s="34"/>
      <c r="AR944" s="34"/>
      <c r="AS944" s="34"/>
      <c r="AT944" s="34"/>
      <c r="AU944" s="34"/>
      <c r="AV944" s="34"/>
      <c r="AW944" s="34"/>
      <c r="AX944" s="34"/>
      <c r="AY944" s="34"/>
      <c r="AZ944" s="34"/>
    </row>
    <row r="945" spans="1:52" x14ac:dyDescent="0.2">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c r="AF945" s="34"/>
      <c r="AG945" s="34"/>
      <c r="AH945" s="34"/>
      <c r="AI945" s="34"/>
      <c r="AJ945" s="34"/>
      <c r="AK945" s="34"/>
      <c r="AL945" s="34"/>
      <c r="AM945" s="34"/>
      <c r="AN945" s="34"/>
      <c r="AO945" s="34"/>
      <c r="AP945" s="34"/>
      <c r="AQ945" s="34"/>
      <c r="AR945" s="34"/>
      <c r="AS945" s="34"/>
      <c r="AT945" s="34"/>
      <c r="AU945" s="34"/>
      <c r="AV945" s="34"/>
      <c r="AW945" s="34"/>
      <c r="AX945" s="34"/>
      <c r="AY945" s="34"/>
      <c r="AZ945" s="34"/>
    </row>
    <row r="946" spans="1:52" x14ac:dyDescent="0.2">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c r="AF946" s="34"/>
      <c r="AG946" s="34"/>
      <c r="AH946" s="34"/>
      <c r="AI946" s="34"/>
      <c r="AJ946" s="34"/>
      <c r="AK946" s="34"/>
      <c r="AL946" s="34"/>
      <c r="AM946" s="34"/>
      <c r="AN946" s="34"/>
      <c r="AO946" s="34"/>
      <c r="AP946" s="34"/>
      <c r="AQ946" s="34"/>
      <c r="AR946" s="34"/>
      <c r="AS946" s="34"/>
      <c r="AT946" s="34"/>
      <c r="AU946" s="34"/>
      <c r="AV946" s="34"/>
      <c r="AW946" s="34"/>
      <c r="AX946" s="34"/>
      <c r="AY946" s="34"/>
      <c r="AZ946" s="34"/>
    </row>
    <row r="947" spans="1:52" x14ac:dyDescent="0.2">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c r="AF947" s="34"/>
      <c r="AG947" s="34"/>
      <c r="AH947" s="34"/>
      <c r="AI947" s="34"/>
      <c r="AJ947" s="34"/>
      <c r="AK947" s="34"/>
      <c r="AL947" s="34"/>
      <c r="AM947" s="34"/>
      <c r="AN947" s="34"/>
      <c r="AO947" s="34"/>
      <c r="AP947" s="34"/>
      <c r="AQ947" s="34"/>
      <c r="AR947" s="34"/>
      <c r="AS947" s="34"/>
      <c r="AT947" s="34"/>
      <c r="AU947" s="34"/>
      <c r="AV947" s="34"/>
      <c r="AW947" s="34"/>
      <c r="AX947" s="34"/>
      <c r="AY947" s="34"/>
      <c r="AZ947" s="34"/>
    </row>
    <row r="948" spans="1:52" x14ac:dyDescent="0.2">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c r="AF948" s="34"/>
      <c r="AG948" s="34"/>
      <c r="AH948" s="34"/>
      <c r="AI948" s="34"/>
      <c r="AJ948" s="34"/>
      <c r="AK948" s="34"/>
      <c r="AL948" s="34"/>
      <c r="AM948" s="34"/>
      <c r="AN948" s="34"/>
      <c r="AO948" s="34"/>
      <c r="AP948" s="34"/>
      <c r="AQ948" s="34"/>
      <c r="AR948" s="34"/>
      <c r="AS948" s="34"/>
      <c r="AT948" s="34"/>
      <c r="AU948" s="34"/>
      <c r="AV948" s="34"/>
      <c r="AW948" s="34"/>
      <c r="AX948" s="34"/>
      <c r="AY948" s="34"/>
      <c r="AZ948" s="34"/>
    </row>
    <row r="949" spans="1:52" x14ac:dyDescent="0.2">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c r="AF949" s="34"/>
      <c r="AG949" s="34"/>
      <c r="AH949" s="34"/>
      <c r="AI949" s="34"/>
      <c r="AJ949" s="34"/>
      <c r="AK949" s="34"/>
      <c r="AL949" s="34"/>
      <c r="AM949" s="34"/>
      <c r="AN949" s="34"/>
      <c r="AO949" s="34"/>
      <c r="AP949" s="34"/>
      <c r="AQ949" s="34"/>
      <c r="AR949" s="34"/>
      <c r="AS949" s="34"/>
      <c r="AT949" s="34"/>
      <c r="AU949" s="34"/>
      <c r="AV949" s="34"/>
      <c r="AW949" s="34"/>
      <c r="AX949" s="34"/>
      <c r="AY949" s="34"/>
      <c r="AZ949" s="34"/>
    </row>
    <row r="950" spans="1:52" x14ac:dyDescent="0.2">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c r="AF950" s="34"/>
      <c r="AG950" s="34"/>
      <c r="AH950" s="34"/>
      <c r="AI950" s="34"/>
      <c r="AJ950" s="34"/>
      <c r="AK950" s="34"/>
      <c r="AL950" s="34"/>
      <c r="AM950" s="34"/>
      <c r="AN950" s="34"/>
      <c r="AO950" s="34"/>
      <c r="AP950" s="34"/>
      <c r="AQ950" s="34"/>
      <c r="AR950" s="34"/>
      <c r="AS950" s="34"/>
      <c r="AT950" s="34"/>
      <c r="AU950" s="34"/>
      <c r="AV950" s="34"/>
      <c r="AW950" s="34"/>
      <c r="AX950" s="34"/>
      <c r="AY950" s="34"/>
      <c r="AZ950" s="34"/>
    </row>
    <row r="951" spans="1:52" x14ac:dyDescent="0.2">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c r="AF951" s="34"/>
      <c r="AG951" s="34"/>
      <c r="AH951" s="34"/>
      <c r="AI951" s="34"/>
      <c r="AJ951" s="34"/>
      <c r="AK951" s="34"/>
      <c r="AL951" s="34"/>
      <c r="AM951" s="34"/>
      <c r="AN951" s="34"/>
      <c r="AO951" s="34"/>
      <c r="AP951" s="34"/>
      <c r="AQ951" s="34"/>
      <c r="AR951" s="34"/>
      <c r="AS951" s="34"/>
      <c r="AT951" s="34"/>
      <c r="AU951" s="34"/>
      <c r="AV951" s="34"/>
      <c r="AW951" s="34"/>
      <c r="AX951" s="34"/>
      <c r="AY951" s="34"/>
      <c r="AZ951" s="34"/>
    </row>
    <row r="952" spans="1:52" x14ac:dyDescent="0.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c r="AF952" s="34"/>
      <c r="AG952" s="34"/>
      <c r="AH952" s="34"/>
      <c r="AI952" s="34"/>
      <c r="AJ952" s="34"/>
      <c r="AK952" s="34"/>
      <c r="AL952" s="34"/>
      <c r="AM952" s="34"/>
      <c r="AN952" s="34"/>
      <c r="AO952" s="34"/>
      <c r="AP952" s="34"/>
      <c r="AQ952" s="34"/>
      <c r="AR952" s="34"/>
      <c r="AS952" s="34"/>
      <c r="AT952" s="34"/>
      <c r="AU952" s="34"/>
      <c r="AV952" s="34"/>
      <c r="AW952" s="34"/>
      <c r="AX952" s="34"/>
      <c r="AY952" s="34"/>
      <c r="AZ952" s="34"/>
    </row>
    <row r="953" spans="1:52" x14ac:dyDescent="0.2">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c r="AF953" s="34"/>
      <c r="AG953" s="34"/>
      <c r="AH953" s="34"/>
      <c r="AI953" s="34"/>
      <c r="AJ953" s="34"/>
      <c r="AK953" s="34"/>
      <c r="AL953" s="34"/>
      <c r="AM953" s="34"/>
      <c r="AN953" s="34"/>
      <c r="AO953" s="34"/>
      <c r="AP953" s="34"/>
      <c r="AQ953" s="34"/>
      <c r="AR953" s="34"/>
      <c r="AS953" s="34"/>
      <c r="AT953" s="34"/>
      <c r="AU953" s="34"/>
      <c r="AV953" s="34"/>
      <c r="AW953" s="34"/>
      <c r="AX953" s="34"/>
      <c r="AY953" s="34"/>
      <c r="AZ953" s="34"/>
    </row>
    <row r="954" spans="1:52" x14ac:dyDescent="0.2">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c r="AF954" s="34"/>
      <c r="AG954" s="34"/>
      <c r="AH954" s="34"/>
      <c r="AI954" s="34"/>
      <c r="AJ954" s="34"/>
      <c r="AK954" s="34"/>
      <c r="AL954" s="34"/>
      <c r="AM954" s="34"/>
      <c r="AN954" s="34"/>
      <c r="AO954" s="34"/>
      <c r="AP954" s="34"/>
      <c r="AQ954" s="34"/>
      <c r="AR954" s="34"/>
      <c r="AS954" s="34"/>
      <c r="AT954" s="34"/>
      <c r="AU954" s="34"/>
      <c r="AV954" s="34"/>
      <c r="AW954" s="34"/>
      <c r="AX954" s="34"/>
      <c r="AY954" s="34"/>
      <c r="AZ954" s="34"/>
    </row>
    <row r="955" spans="1:52" x14ac:dyDescent="0.2">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c r="AF955" s="34"/>
      <c r="AG955" s="34"/>
      <c r="AH955" s="34"/>
      <c r="AI955" s="34"/>
      <c r="AJ955" s="34"/>
      <c r="AK955" s="34"/>
      <c r="AL955" s="34"/>
      <c r="AM955" s="34"/>
      <c r="AN955" s="34"/>
      <c r="AO955" s="34"/>
      <c r="AP955" s="34"/>
      <c r="AQ955" s="34"/>
      <c r="AR955" s="34"/>
      <c r="AS955" s="34"/>
      <c r="AT955" s="34"/>
      <c r="AU955" s="34"/>
      <c r="AV955" s="34"/>
      <c r="AW955" s="34"/>
      <c r="AX955" s="34"/>
      <c r="AY955" s="34"/>
      <c r="AZ955" s="34"/>
    </row>
    <row r="956" spans="1:52" x14ac:dyDescent="0.2">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c r="AF956" s="34"/>
      <c r="AG956" s="34"/>
      <c r="AH956" s="34"/>
      <c r="AI956" s="34"/>
      <c r="AJ956" s="34"/>
      <c r="AK956" s="34"/>
      <c r="AL956" s="34"/>
      <c r="AM956" s="34"/>
      <c r="AN956" s="34"/>
      <c r="AO956" s="34"/>
      <c r="AP956" s="34"/>
      <c r="AQ956" s="34"/>
      <c r="AR956" s="34"/>
      <c r="AS956" s="34"/>
      <c r="AT956" s="34"/>
      <c r="AU956" s="34"/>
      <c r="AV956" s="34"/>
      <c r="AW956" s="34"/>
      <c r="AX956" s="34"/>
      <c r="AY956" s="34"/>
      <c r="AZ956" s="34"/>
    </row>
    <row r="957" spans="1:52" x14ac:dyDescent="0.2">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c r="AF957" s="34"/>
      <c r="AG957" s="34"/>
      <c r="AH957" s="34"/>
      <c r="AI957" s="34"/>
      <c r="AJ957" s="34"/>
      <c r="AK957" s="34"/>
      <c r="AL957" s="34"/>
      <c r="AM957" s="34"/>
      <c r="AN957" s="34"/>
      <c r="AO957" s="34"/>
      <c r="AP957" s="34"/>
      <c r="AQ957" s="34"/>
      <c r="AR957" s="34"/>
      <c r="AS957" s="34"/>
      <c r="AT957" s="34"/>
      <c r="AU957" s="34"/>
      <c r="AV957" s="34"/>
      <c r="AW957" s="34"/>
      <c r="AX957" s="34"/>
      <c r="AY957" s="34"/>
      <c r="AZ957" s="34"/>
    </row>
    <row r="958" spans="1:52" x14ac:dyDescent="0.2">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c r="AF958" s="34"/>
      <c r="AG958" s="34"/>
      <c r="AH958" s="34"/>
      <c r="AI958" s="34"/>
      <c r="AJ958" s="34"/>
      <c r="AK958" s="34"/>
      <c r="AL958" s="34"/>
      <c r="AM958" s="34"/>
      <c r="AN958" s="34"/>
      <c r="AO958" s="34"/>
      <c r="AP958" s="34"/>
      <c r="AQ958" s="34"/>
      <c r="AR958" s="34"/>
      <c r="AS958" s="34"/>
      <c r="AT958" s="34"/>
      <c r="AU958" s="34"/>
      <c r="AV958" s="34"/>
      <c r="AW958" s="34"/>
      <c r="AX958" s="34"/>
      <c r="AY958" s="34"/>
      <c r="AZ958" s="34"/>
    </row>
    <row r="959" spans="1:52" x14ac:dyDescent="0.2">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c r="AF959" s="34"/>
      <c r="AG959" s="34"/>
      <c r="AH959" s="34"/>
      <c r="AI959" s="34"/>
      <c r="AJ959" s="34"/>
      <c r="AK959" s="34"/>
      <c r="AL959" s="34"/>
      <c r="AM959" s="34"/>
      <c r="AN959" s="34"/>
      <c r="AO959" s="34"/>
      <c r="AP959" s="34"/>
      <c r="AQ959" s="34"/>
      <c r="AR959" s="34"/>
      <c r="AS959" s="34"/>
      <c r="AT959" s="34"/>
      <c r="AU959" s="34"/>
      <c r="AV959" s="34"/>
      <c r="AW959" s="34"/>
      <c r="AX959" s="34"/>
      <c r="AY959" s="34"/>
      <c r="AZ959" s="34"/>
    </row>
    <row r="960" spans="1:52" x14ac:dyDescent="0.2">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c r="AF960" s="34"/>
      <c r="AG960" s="34"/>
      <c r="AH960" s="34"/>
      <c r="AI960" s="34"/>
      <c r="AJ960" s="34"/>
      <c r="AK960" s="34"/>
      <c r="AL960" s="34"/>
      <c r="AM960" s="34"/>
      <c r="AN960" s="34"/>
      <c r="AO960" s="34"/>
      <c r="AP960" s="34"/>
      <c r="AQ960" s="34"/>
      <c r="AR960" s="34"/>
      <c r="AS960" s="34"/>
      <c r="AT960" s="34"/>
      <c r="AU960" s="34"/>
      <c r="AV960" s="34"/>
      <c r="AW960" s="34"/>
      <c r="AX960" s="34"/>
      <c r="AY960" s="34"/>
      <c r="AZ960" s="34"/>
    </row>
    <row r="961" spans="1:52" x14ac:dyDescent="0.2">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c r="AF961" s="34"/>
      <c r="AG961" s="34"/>
      <c r="AH961" s="34"/>
      <c r="AI961" s="34"/>
      <c r="AJ961" s="34"/>
      <c r="AK961" s="34"/>
      <c r="AL961" s="34"/>
      <c r="AM961" s="34"/>
      <c r="AN961" s="34"/>
      <c r="AO961" s="34"/>
      <c r="AP961" s="34"/>
      <c r="AQ961" s="34"/>
      <c r="AR961" s="34"/>
      <c r="AS961" s="34"/>
      <c r="AT961" s="34"/>
      <c r="AU961" s="34"/>
      <c r="AV961" s="34"/>
      <c r="AW961" s="34"/>
      <c r="AX961" s="34"/>
      <c r="AY961" s="34"/>
      <c r="AZ961" s="34"/>
    </row>
    <row r="962" spans="1:52" x14ac:dyDescent="0.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c r="AF962" s="34"/>
      <c r="AG962" s="34"/>
      <c r="AH962" s="34"/>
      <c r="AI962" s="34"/>
      <c r="AJ962" s="34"/>
      <c r="AK962" s="34"/>
      <c r="AL962" s="34"/>
      <c r="AM962" s="34"/>
      <c r="AN962" s="34"/>
      <c r="AO962" s="34"/>
      <c r="AP962" s="34"/>
      <c r="AQ962" s="34"/>
      <c r="AR962" s="34"/>
      <c r="AS962" s="34"/>
      <c r="AT962" s="34"/>
      <c r="AU962" s="34"/>
      <c r="AV962" s="34"/>
      <c r="AW962" s="34"/>
      <c r="AX962" s="34"/>
      <c r="AY962" s="34"/>
      <c r="AZ962" s="34"/>
    </row>
    <row r="963" spans="1:52" x14ac:dyDescent="0.2">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c r="AF963" s="34"/>
      <c r="AG963" s="34"/>
      <c r="AH963" s="34"/>
      <c r="AI963" s="34"/>
      <c r="AJ963" s="34"/>
      <c r="AK963" s="34"/>
      <c r="AL963" s="34"/>
      <c r="AM963" s="34"/>
      <c r="AN963" s="34"/>
      <c r="AO963" s="34"/>
      <c r="AP963" s="34"/>
      <c r="AQ963" s="34"/>
      <c r="AR963" s="34"/>
      <c r="AS963" s="34"/>
      <c r="AT963" s="34"/>
      <c r="AU963" s="34"/>
      <c r="AV963" s="34"/>
      <c r="AW963" s="34"/>
      <c r="AX963" s="34"/>
      <c r="AY963" s="34"/>
      <c r="AZ963" s="34"/>
    </row>
    <row r="964" spans="1:52" x14ac:dyDescent="0.2">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c r="AF964" s="34"/>
      <c r="AG964" s="34"/>
      <c r="AH964" s="34"/>
      <c r="AI964" s="34"/>
      <c r="AJ964" s="34"/>
      <c r="AK964" s="34"/>
      <c r="AL964" s="34"/>
      <c r="AM964" s="34"/>
      <c r="AN964" s="34"/>
      <c r="AO964" s="34"/>
      <c r="AP964" s="34"/>
      <c r="AQ964" s="34"/>
      <c r="AR964" s="34"/>
      <c r="AS964" s="34"/>
      <c r="AT964" s="34"/>
      <c r="AU964" s="34"/>
      <c r="AV964" s="34"/>
      <c r="AW964" s="34"/>
      <c r="AX964" s="34"/>
      <c r="AY964" s="34"/>
      <c r="AZ964" s="34"/>
    </row>
    <row r="965" spans="1:52" x14ac:dyDescent="0.2">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c r="AF965" s="34"/>
      <c r="AG965" s="34"/>
      <c r="AH965" s="34"/>
      <c r="AI965" s="34"/>
      <c r="AJ965" s="34"/>
      <c r="AK965" s="34"/>
      <c r="AL965" s="34"/>
      <c r="AM965" s="34"/>
      <c r="AN965" s="34"/>
      <c r="AO965" s="34"/>
      <c r="AP965" s="34"/>
      <c r="AQ965" s="34"/>
      <c r="AR965" s="34"/>
      <c r="AS965" s="34"/>
      <c r="AT965" s="34"/>
      <c r="AU965" s="34"/>
      <c r="AV965" s="34"/>
      <c r="AW965" s="34"/>
      <c r="AX965" s="34"/>
      <c r="AY965" s="34"/>
      <c r="AZ965" s="34"/>
    </row>
    <row r="966" spans="1:52" x14ac:dyDescent="0.2">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c r="AF966" s="34"/>
      <c r="AG966" s="34"/>
      <c r="AH966" s="34"/>
      <c r="AI966" s="34"/>
      <c r="AJ966" s="34"/>
      <c r="AK966" s="34"/>
      <c r="AL966" s="34"/>
      <c r="AM966" s="34"/>
      <c r="AN966" s="34"/>
      <c r="AO966" s="34"/>
      <c r="AP966" s="34"/>
      <c r="AQ966" s="34"/>
      <c r="AR966" s="34"/>
      <c r="AS966" s="34"/>
      <c r="AT966" s="34"/>
      <c r="AU966" s="34"/>
      <c r="AV966" s="34"/>
      <c r="AW966" s="34"/>
      <c r="AX966" s="34"/>
      <c r="AY966" s="34"/>
      <c r="AZ966" s="34"/>
    </row>
    <row r="967" spans="1:52" x14ac:dyDescent="0.2">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c r="AF967" s="34"/>
      <c r="AG967" s="34"/>
      <c r="AH967" s="34"/>
      <c r="AI967" s="34"/>
      <c r="AJ967" s="34"/>
      <c r="AK967" s="34"/>
      <c r="AL967" s="34"/>
      <c r="AM967" s="34"/>
      <c r="AN967" s="34"/>
      <c r="AO967" s="34"/>
      <c r="AP967" s="34"/>
      <c r="AQ967" s="34"/>
      <c r="AR967" s="34"/>
      <c r="AS967" s="34"/>
      <c r="AT967" s="34"/>
      <c r="AU967" s="34"/>
      <c r="AV967" s="34"/>
      <c r="AW967" s="34"/>
      <c r="AX967" s="34"/>
      <c r="AY967" s="34"/>
      <c r="AZ967" s="34"/>
    </row>
    <row r="968" spans="1:52" x14ac:dyDescent="0.2">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c r="AF968" s="34"/>
      <c r="AG968" s="34"/>
      <c r="AH968" s="34"/>
      <c r="AI968" s="34"/>
      <c r="AJ968" s="34"/>
      <c r="AK968" s="34"/>
      <c r="AL968" s="34"/>
      <c r="AM968" s="34"/>
      <c r="AN968" s="34"/>
      <c r="AO968" s="34"/>
      <c r="AP968" s="34"/>
      <c r="AQ968" s="34"/>
      <c r="AR968" s="34"/>
      <c r="AS968" s="34"/>
      <c r="AT968" s="34"/>
      <c r="AU968" s="34"/>
      <c r="AV968" s="34"/>
      <c r="AW968" s="34"/>
      <c r="AX968" s="34"/>
      <c r="AY968" s="34"/>
      <c r="AZ968" s="34"/>
    </row>
    <row r="969" spans="1:52" x14ac:dyDescent="0.2">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c r="AF969" s="34"/>
      <c r="AG969" s="34"/>
      <c r="AH969" s="34"/>
      <c r="AI969" s="34"/>
      <c r="AJ969" s="34"/>
      <c r="AK969" s="34"/>
      <c r="AL969" s="34"/>
      <c r="AM969" s="34"/>
      <c r="AN969" s="34"/>
      <c r="AO969" s="34"/>
      <c r="AP969" s="34"/>
      <c r="AQ969" s="34"/>
      <c r="AR969" s="34"/>
      <c r="AS969" s="34"/>
      <c r="AT969" s="34"/>
      <c r="AU969" s="34"/>
      <c r="AV969" s="34"/>
      <c r="AW969" s="34"/>
      <c r="AX969" s="34"/>
      <c r="AY969" s="34"/>
      <c r="AZ969" s="34"/>
    </row>
    <row r="970" spans="1:52" x14ac:dyDescent="0.2">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c r="AF970" s="34"/>
      <c r="AG970" s="34"/>
      <c r="AH970" s="34"/>
      <c r="AI970" s="34"/>
      <c r="AJ970" s="34"/>
      <c r="AK970" s="34"/>
      <c r="AL970" s="34"/>
      <c r="AM970" s="34"/>
      <c r="AN970" s="34"/>
      <c r="AO970" s="34"/>
      <c r="AP970" s="34"/>
      <c r="AQ970" s="34"/>
      <c r="AR970" s="34"/>
      <c r="AS970" s="34"/>
      <c r="AT970" s="34"/>
      <c r="AU970" s="34"/>
      <c r="AV970" s="34"/>
      <c r="AW970" s="34"/>
      <c r="AX970" s="34"/>
      <c r="AY970" s="34"/>
      <c r="AZ970" s="34"/>
    </row>
    <row r="971" spans="1:52" x14ac:dyDescent="0.2">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c r="AF971" s="34"/>
      <c r="AG971" s="34"/>
      <c r="AH971" s="34"/>
      <c r="AI971" s="34"/>
      <c r="AJ971" s="34"/>
      <c r="AK971" s="34"/>
      <c r="AL971" s="34"/>
      <c r="AM971" s="34"/>
      <c r="AN971" s="34"/>
      <c r="AO971" s="34"/>
      <c r="AP971" s="34"/>
      <c r="AQ971" s="34"/>
      <c r="AR971" s="34"/>
      <c r="AS971" s="34"/>
      <c r="AT971" s="34"/>
      <c r="AU971" s="34"/>
      <c r="AV971" s="34"/>
      <c r="AW971" s="34"/>
      <c r="AX971" s="34"/>
      <c r="AY971" s="34"/>
      <c r="AZ971" s="34"/>
    </row>
    <row r="972" spans="1:52" x14ac:dyDescent="0.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c r="AF972" s="34"/>
      <c r="AG972" s="34"/>
      <c r="AH972" s="34"/>
      <c r="AI972" s="34"/>
      <c r="AJ972" s="34"/>
      <c r="AK972" s="34"/>
      <c r="AL972" s="34"/>
      <c r="AM972" s="34"/>
      <c r="AN972" s="34"/>
      <c r="AO972" s="34"/>
      <c r="AP972" s="34"/>
      <c r="AQ972" s="34"/>
      <c r="AR972" s="34"/>
      <c r="AS972" s="34"/>
      <c r="AT972" s="34"/>
      <c r="AU972" s="34"/>
      <c r="AV972" s="34"/>
      <c r="AW972" s="34"/>
      <c r="AX972" s="34"/>
      <c r="AY972" s="34"/>
      <c r="AZ972" s="34"/>
    </row>
    <row r="973" spans="1:52" x14ac:dyDescent="0.2">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c r="AF973" s="34"/>
      <c r="AG973" s="34"/>
      <c r="AH973" s="34"/>
      <c r="AI973" s="34"/>
      <c r="AJ973" s="34"/>
      <c r="AK973" s="34"/>
      <c r="AL973" s="34"/>
      <c r="AM973" s="34"/>
      <c r="AN973" s="34"/>
      <c r="AO973" s="34"/>
      <c r="AP973" s="34"/>
      <c r="AQ973" s="34"/>
      <c r="AR973" s="34"/>
      <c r="AS973" s="34"/>
      <c r="AT973" s="34"/>
      <c r="AU973" s="34"/>
      <c r="AV973" s="34"/>
      <c r="AW973" s="34"/>
      <c r="AX973" s="34"/>
      <c r="AY973" s="34"/>
      <c r="AZ973" s="34"/>
    </row>
    <row r="974" spans="1:52" x14ac:dyDescent="0.2">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c r="AF974" s="34"/>
      <c r="AG974" s="34"/>
      <c r="AH974" s="34"/>
      <c r="AI974" s="34"/>
      <c r="AJ974" s="34"/>
      <c r="AK974" s="34"/>
      <c r="AL974" s="34"/>
      <c r="AM974" s="34"/>
      <c r="AN974" s="34"/>
      <c r="AO974" s="34"/>
      <c r="AP974" s="34"/>
      <c r="AQ974" s="34"/>
      <c r="AR974" s="34"/>
      <c r="AS974" s="34"/>
      <c r="AT974" s="34"/>
      <c r="AU974" s="34"/>
      <c r="AV974" s="34"/>
      <c r="AW974" s="34"/>
      <c r="AX974" s="34"/>
      <c r="AY974" s="34"/>
      <c r="AZ974" s="34"/>
    </row>
    <row r="975" spans="1:52" x14ac:dyDescent="0.2">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c r="AF975" s="34"/>
      <c r="AG975" s="34"/>
      <c r="AH975" s="34"/>
      <c r="AI975" s="34"/>
      <c r="AJ975" s="34"/>
      <c r="AK975" s="34"/>
      <c r="AL975" s="34"/>
      <c r="AM975" s="34"/>
      <c r="AN975" s="34"/>
      <c r="AO975" s="34"/>
      <c r="AP975" s="34"/>
      <c r="AQ975" s="34"/>
      <c r="AR975" s="34"/>
      <c r="AS975" s="34"/>
      <c r="AT975" s="34"/>
      <c r="AU975" s="34"/>
      <c r="AV975" s="34"/>
      <c r="AW975" s="34"/>
      <c r="AX975" s="34"/>
      <c r="AY975" s="34"/>
      <c r="AZ975" s="34"/>
    </row>
    <row r="976" spans="1:52" x14ac:dyDescent="0.2">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c r="AF976" s="34"/>
      <c r="AG976" s="34"/>
      <c r="AH976" s="34"/>
      <c r="AI976" s="34"/>
      <c r="AJ976" s="34"/>
      <c r="AK976" s="34"/>
      <c r="AL976" s="34"/>
      <c r="AM976" s="34"/>
      <c r="AN976" s="34"/>
      <c r="AO976" s="34"/>
      <c r="AP976" s="34"/>
      <c r="AQ976" s="34"/>
      <c r="AR976" s="34"/>
      <c r="AS976" s="34"/>
      <c r="AT976" s="34"/>
      <c r="AU976" s="34"/>
      <c r="AV976" s="34"/>
      <c r="AW976" s="34"/>
      <c r="AX976" s="34"/>
      <c r="AY976" s="34"/>
      <c r="AZ976" s="34"/>
    </row>
    <row r="977" spans="1:52" x14ac:dyDescent="0.2">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c r="AF977" s="34"/>
      <c r="AG977" s="34"/>
      <c r="AH977" s="34"/>
      <c r="AI977" s="34"/>
      <c r="AJ977" s="34"/>
      <c r="AK977" s="34"/>
      <c r="AL977" s="34"/>
      <c r="AM977" s="34"/>
      <c r="AN977" s="34"/>
      <c r="AO977" s="34"/>
      <c r="AP977" s="34"/>
      <c r="AQ977" s="34"/>
      <c r="AR977" s="34"/>
      <c r="AS977" s="34"/>
      <c r="AT977" s="34"/>
      <c r="AU977" s="34"/>
      <c r="AV977" s="34"/>
      <c r="AW977" s="34"/>
      <c r="AX977" s="34"/>
      <c r="AY977" s="34"/>
      <c r="AZ977" s="34"/>
    </row>
    <row r="978" spans="1:52" x14ac:dyDescent="0.2">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c r="AF978" s="34"/>
      <c r="AG978" s="34"/>
      <c r="AH978" s="34"/>
      <c r="AI978" s="34"/>
      <c r="AJ978" s="34"/>
      <c r="AK978" s="34"/>
      <c r="AL978" s="34"/>
      <c r="AM978" s="34"/>
      <c r="AN978" s="34"/>
      <c r="AO978" s="34"/>
      <c r="AP978" s="34"/>
      <c r="AQ978" s="34"/>
      <c r="AR978" s="34"/>
      <c r="AS978" s="34"/>
      <c r="AT978" s="34"/>
      <c r="AU978" s="34"/>
      <c r="AV978" s="34"/>
      <c r="AW978" s="34"/>
      <c r="AX978" s="34"/>
      <c r="AY978" s="34"/>
      <c r="AZ978" s="34"/>
    </row>
    <row r="979" spans="1:52" x14ac:dyDescent="0.2">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c r="AF979" s="34"/>
      <c r="AG979" s="34"/>
      <c r="AH979" s="34"/>
      <c r="AI979" s="34"/>
      <c r="AJ979" s="34"/>
      <c r="AK979" s="34"/>
      <c r="AL979" s="34"/>
      <c r="AM979" s="34"/>
      <c r="AN979" s="34"/>
      <c r="AO979" s="34"/>
      <c r="AP979" s="34"/>
      <c r="AQ979" s="34"/>
      <c r="AR979" s="34"/>
      <c r="AS979" s="34"/>
      <c r="AT979" s="34"/>
      <c r="AU979" s="34"/>
      <c r="AV979" s="34"/>
      <c r="AW979" s="34"/>
      <c r="AX979" s="34"/>
      <c r="AY979" s="34"/>
      <c r="AZ979" s="34"/>
    </row>
    <row r="980" spans="1:52" x14ac:dyDescent="0.2">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c r="AF980" s="34"/>
      <c r="AG980" s="34"/>
      <c r="AH980" s="34"/>
      <c r="AI980" s="34"/>
      <c r="AJ980" s="34"/>
      <c r="AK980" s="34"/>
      <c r="AL980" s="34"/>
      <c r="AM980" s="34"/>
      <c r="AN980" s="34"/>
      <c r="AO980" s="34"/>
      <c r="AP980" s="34"/>
      <c r="AQ980" s="34"/>
      <c r="AR980" s="34"/>
      <c r="AS980" s="34"/>
      <c r="AT980" s="34"/>
      <c r="AU980" s="34"/>
      <c r="AV980" s="34"/>
      <c r="AW980" s="34"/>
      <c r="AX980" s="34"/>
      <c r="AY980" s="34"/>
      <c r="AZ980" s="34"/>
    </row>
    <row r="981" spans="1:52" x14ac:dyDescent="0.2">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c r="AF981" s="34"/>
      <c r="AG981" s="34"/>
      <c r="AH981" s="34"/>
      <c r="AI981" s="34"/>
      <c r="AJ981" s="34"/>
      <c r="AK981" s="34"/>
      <c r="AL981" s="34"/>
      <c r="AM981" s="34"/>
      <c r="AN981" s="34"/>
      <c r="AO981" s="34"/>
      <c r="AP981" s="34"/>
      <c r="AQ981" s="34"/>
      <c r="AR981" s="34"/>
      <c r="AS981" s="34"/>
      <c r="AT981" s="34"/>
      <c r="AU981" s="34"/>
      <c r="AV981" s="34"/>
      <c r="AW981" s="34"/>
      <c r="AX981" s="34"/>
      <c r="AY981" s="34"/>
      <c r="AZ981" s="34"/>
    </row>
    <row r="982" spans="1:52" x14ac:dyDescent="0.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c r="AF982" s="34"/>
      <c r="AG982" s="34"/>
      <c r="AH982" s="34"/>
      <c r="AI982" s="34"/>
      <c r="AJ982" s="34"/>
      <c r="AK982" s="34"/>
      <c r="AL982" s="34"/>
      <c r="AM982" s="34"/>
      <c r="AN982" s="34"/>
      <c r="AO982" s="34"/>
      <c r="AP982" s="34"/>
      <c r="AQ982" s="34"/>
      <c r="AR982" s="34"/>
      <c r="AS982" s="34"/>
      <c r="AT982" s="34"/>
      <c r="AU982" s="34"/>
      <c r="AV982" s="34"/>
      <c r="AW982" s="34"/>
      <c r="AX982" s="34"/>
      <c r="AY982" s="34"/>
      <c r="AZ982" s="34"/>
    </row>
    <row r="983" spans="1:52" x14ac:dyDescent="0.2">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c r="AF983" s="34"/>
      <c r="AG983" s="34"/>
      <c r="AH983" s="34"/>
      <c r="AI983" s="34"/>
      <c r="AJ983" s="34"/>
      <c r="AK983" s="34"/>
      <c r="AL983" s="34"/>
      <c r="AM983" s="34"/>
      <c r="AN983" s="34"/>
      <c r="AO983" s="34"/>
      <c r="AP983" s="34"/>
      <c r="AQ983" s="34"/>
      <c r="AR983" s="34"/>
      <c r="AS983" s="34"/>
      <c r="AT983" s="34"/>
      <c r="AU983" s="34"/>
      <c r="AV983" s="34"/>
      <c r="AW983" s="34"/>
      <c r="AX983" s="34"/>
      <c r="AY983" s="34"/>
      <c r="AZ983" s="34"/>
    </row>
    <row r="984" spans="1:52" x14ac:dyDescent="0.2">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c r="AF984" s="34"/>
      <c r="AG984" s="34"/>
      <c r="AH984" s="34"/>
      <c r="AI984" s="34"/>
      <c r="AJ984" s="34"/>
      <c r="AK984" s="34"/>
      <c r="AL984" s="34"/>
      <c r="AM984" s="34"/>
      <c r="AN984" s="34"/>
      <c r="AO984" s="34"/>
      <c r="AP984" s="34"/>
      <c r="AQ984" s="34"/>
      <c r="AR984" s="34"/>
      <c r="AS984" s="34"/>
      <c r="AT984" s="34"/>
      <c r="AU984" s="34"/>
      <c r="AV984" s="34"/>
      <c r="AW984" s="34"/>
      <c r="AX984" s="34"/>
      <c r="AY984" s="34"/>
      <c r="AZ984" s="34"/>
    </row>
    <row r="985" spans="1:52" x14ac:dyDescent="0.2">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c r="AF985" s="34"/>
      <c r="AG985" s="34"/>
      <c r="AH985" s="34"/>
      <c r="AI985" s="34"/>
      <c r="AJ985" s="34"/>
      <c r="AK985" s="34"/>
      <c r="AL985" s="34"/>
      <c r="AM985" s="34"/>
      <c r="AN985" s="34"/>
      <c r="AO985" s="34"/>
      <c r="AP985" s="34"/>
      <c r="AQ985" s="34"/>
      <c r="AR985" s="34"/>
      <c r="AS985" s="34"/>
      <c r="AT985" s="34"/>
      <c r="AU985" s="34"/>
      <c r="AV985" s="34"/>
      <c r="AW985" s="34"/>
      <c r="AX985" s="34"/>
      <c r="AY985" s="34"/>
      <c r="AZ985" s="34"/>
    </row>
    <row r="986" spans="1:52" x14ac:dyDescent="0.2">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c r="AF986" s="34"/>
      <c r="AG986" s="34"/>
      <c r="AH986" s="34"/>
      <c r="AI986" s="34"/>
      <c r="AJ986" s="34"/>
      <c r="AK986" s="34"/>
      <c r="AL986" s="34"/>
      <c r="AM986" s="34"/>
      <c r="AN986" s="34"/>
      <c r="AO986" s="34"/>
      <c r="AP986" s="34"/>
      <c r="AQ986" s="34"/>
      <c r="AR986" s="34"/>
      <c r="AS986" s="34"/>
      <c r="AT986" s="34"/>
      <c r="AU986" s="34"/>
      <c r="AV986" s="34"/>
      <c r="AW986" s="34"/>
      <c r="AX986" s="34"/>
      <c r="AY986" s="34"/>
      <c r="AZ986" s="34"/>
    </row>
    <row r="987" spans="1:52" x14ac:dyDescent="0.2">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c r="AF987" s="34"/>
      <c r="AG987" s="34"/>
      <c r="AH987" s="34"/>
      <c r="AI987" s="34"/>
      <c r="AJ987" s="34"/>
      <c r="AK987" s="34"/>
      <c r="AL987" s="34"/>
      <c r="AM987" s="34"/>
      <c r="AN987" s="34"/>
      <c r="AO987" s="34"/>
      <c r="AP987" s="34"/>
      <c r="AQ987" s="34"/>
      <c r="AR987" s="34"/>
      <c r="AS987" s="34"/>
      <c r="AT987" s="34"/>
      <c r="AU987" s="34"/>
      <c r="AV987" s="34"/>
      <c r="AW987" s="34"/>
      <c r="AX987" s="34"/>
      <c r="AY987" s="34"/>
      <c r="AZ987" s="34"/>
    </row>
    <row r="988" spans="1:52" x14ac:dyDescent="0.2">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c r="AF988" s="34"/>
      <c r="AG988" s="34"/>
      <c r="AH988" s="34"/>
      <c r="AI988" s="34"/>
      <c r="AJ988" s="34"/>
      <c r="AK988" s="34"/>
      <c r="AL988" s="34"/>
      <c r="AM988" s="34"/>
      <c r="AN988" s="34"/>
      <c r="AO988" s="34"/>
      <c r="AP988" s="34"/>
      <c r="AQ988" s="34"/>
      <c r="AR988" s="34"/>
      <c r="AS988" s="34"/>
      <c r="AT988" s="34"/>
      <c r="AU988" s="34"/>
      <c r="AV988" s="34"/>
      <c r="AW988" s="34"/>
      <c r="AX988" s="34"/>
      <c r="AY988" s="34"/>
      <c r="AZ988" s="34"/>
    </row>
    <row r="989" spans="1:52" x14ac:dyDescent="0.2">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c r="AF989" s="34"/>
      <c r="AG989" s="34"/>
      <c r="AH989" s="34"/>
      <c r="AI989" s="34"/>
      <c r="AJ989" s="34"/>
      <c r="AK989" s="34"/>
      <c r="AL989" s="34"/>
      <c r="AM989" s="34"/>
      <c r="AN989" s="34"/>
      <c r="AO989" s="34"/>
      <c r="AP989" s="34"/>
      <c r="AQ989" s="34"/>
      <c r="AR989" s="34"/>
      <c r="AS989" s="34"/>
      <c r="AT989" s="34"/>
      <c r="AU989" s="34"/>
      <c r="AV989" s="34"/>
      <c r="AW989" s="34"/>
      <c r="AX989" s="34"/>
      <c r="AY989" s="34"/>
      <c r="AZ989" s="34"/>
    </row>
    <row r="990" spans="1:52" x14ac:dyDescent="0.2">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c r="AF990" s="34"/>
      <c r="AG990" s="34"/>
      <c r="AH990" s="34"/>
      <c r="AI990" s="34"/>
      <c r="AJ990" s="34"/>
      <c r="AK990" s="34"/>
      <c r="AL990" s="34"/>
      <c r="AM990" s="34"/>
      <c r="AN990" s="34"/>
      <c r="AO990" s="34"/>
      <c r="AP990" s="34"/>
      <c r="AQ990" s="34"/>
      <c r="AR990" s="34"/>
      <c r="AS990" s="34"/>
      <c r="AT990" s="34"/>
      <c r="AU990" s="34"/>
      <c r="AV990" s="34"/>
      <c r="AW990" s="34"/>
      <c r="AX990" s="34"/>
      <c r="AY990" s="34"/>
      <c r="AZ990" s="34"/>
    </row>
    <row r="991" spans="1:52" x14ac:dyDescent="0.2">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c r="AF991" s="34"/>
      <c r="AG991" s="34"/>
      <c r="AH991" s="34"/>
      <c r="AI991" s="34"/>
      <c r="AJ991" s="34"/>
      <c r="AK991" s="34"/>
      <c r="AL991" s="34"/>
      <c r="AM991" s="34"/>
      <c r="AN991" s="34"/>
      <c r="AO991" s="34"/>
      <c r="AP991" s="34"/>
      <c r="AQ991" s="34"/>
      <c r="AR991" s="34"/>
      <c r="AS991" s="34"/>
      <c r="AT991" s="34"/>
      <c r="AU991" s="34"/>
      <c r="AV991" s="34"/>
      <c r="AW991" s="34"/>
      <c r="AX991" s="34"/>
      <c r="AY991" s="34"/>
      <c r="AZ991" s="34"/>
    </row>
    <row r="992" spans="1:52" x14ac:dyDescent="0.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c r="AF992" s="34"/>
      <c r="AG992" s="34"/>
      <c r="AH992" s="34"/>
      <c r="AI992" s="34"/>
      <c r="AJ992" s="34"/>
      <c r="AK992" s="34"/>
      <c r="AL992" s="34"/>
      <c r="AM992" s="34"/>
      <c r="AN992" s="34"/>
      <c r="AO992" s="34"/>
      <c r="AP992" s="34"/>
      <c r="AQ992" s="34"/>
      <c r="AR992" s="34"/>
      <c r="AS992" s="34"/>
      <c r="AT992" s="34"/>
      <c r="AU992" s="34"/>
      <c r="AV992" s="34"/>
      <c r="AW992" s="34"/>
      <c r="AX992" s="34"/>
      <c r="AY992" s="34"/>
      <c r="AZ992" s="34"/>
    </row>
    <row r="993" spans="1:52" x14ac:dyDescent="0.2">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c r="AF993" s="34"/>
      <c r="AG993" s="34"/>
      <c r="AH993" s="34"/>
      <c r="AI993" s="34"/>
      <c r="AJ993" s="34"/>
      <c r="AK993" s="34"/>
      <c r="AL993" s="34"/>
      <c r="AM993" s="34"/>
      <c r="AN993" s="34"/>
      <c r="AO993" s="34"/>
      <c r="AP993" s="34"/>
      <c r="AQ993" s="34"/>
      <c r="AR993" s="34"/>
      <c r="AS993" s="34"/>
      <c r="AT993" s="34"/>
      <c r="AU993" s="34"/>
      <c r="AV993" s="34"/>
      <c r="AW993" s="34"/>
      <c r="AX993" s="34"/>
      <c r="AY993" s="34"/>
      <c r="AZ993" s="34"/>
    </row>
    <row r="994" spans="1:52" x14ac:dyDescent="0.2">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c r="AF994" s="34"/>
      <c r="AG994" s="34"/>
      <c r="AH994" s="34"/>
      <c r="AI994" s="34"/>
      <c r="AJ994" s="34"/>
      <c r="AK994" s="34"/>
      <c r="AL994" s="34"/>
      <c r="AM994" s="34"/>
      <c r="AN994" s="34"/>
      <c r="AO994" s="34"/>
      <c r="AP994" s="34"/>
      <c r="AQ994" s="34"/>
      <c r="AR994" s="34"/>
      <c r="AS994" s="34"/>
      <c r="AT994" s="34"/>
      <c r="AU994" s="34"/>
      <c r="AV994" s="34"/>
      <c r="AW994" s="34"/>
      <c r="AX994" s="34"/>
      <c r="AY994" s="34"/>
      <c r="AZ994" s="34"/>
    </row>
    <row r="995" spans="1:52" x14ac:dyDescent="0.2">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c r="AF995" s="34"/>
      <c r="AG995" s="34"/>
      <c r="AH995" s="34"/>
      <c r="AI995" s="34"/>
      <c r="AJ995" s="34"/>
      <c r="AK995" s="34"/>
      <c r="AL995" s="34"/>
      <c r="AM995" s="34"/>
      <c r="AN995" s="34"/>
      <c r="AO995" s="34"/>
      <c r="AP995" s="34"/>
      <c r="AQ995" s="34"/>
      <c r="AR995" s="34"/>
      <c r="AS995" s="34"/>
      <c r="AT995" s="34"/>
      <c r="AU995" s="34"/>
      <c r="AV995" s="34"/>
      <c r="AW995" s="34"/>
      <c r="AX995" s="34"/>
      <c r="AY995" s="34"/>
      <c r="AZ995" s="34"/>
    </row>
    <row r="996" spans="1:52" x14ac:dyDescent="0.2">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c r="AF996" s="34"/>
      <c r="AG996" s="34"/>
      <c r="AH996" s="34"/>
      <c r="AI996" s="34"/>
      <c r="AJ996" s="34"/>
      <c r="AK996" s="34"/>
      <c r="AL996" s="34"/>
      <c r="AM996" s="34"/>
      <c r="AN996" s="34"/>
      <c r="AO996" s="34"/>
      <c r="AP996" s="34"/>
      <c r="AQ996" s="34"/>
      <c r="AR996" s="34"/>
      <c r="AS996" s="34"/>
      <c r="AT996" s="34"/>
      <c r="AU996" s="34"/>
      <c r="AV996" s="34"/>
      <c r="AW996" s="34"/>
      <c r="AX996" s="34"/>
      <c r="AY996" s="34"/>
      <c r="AZ996" s="34"/>
    </row>
    <row r="997" spans="1:52" x14ac:dyDescent="0.2">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c r="AF997" s="34"/>
      <c r="AG997" s="34"/>
      <c r="AH997" s="34"/>
      <c r="AI997" s="34"/>
      <c r="AJ997" s="34"/>
      <c r="AK997" s="34"/>
      <c r="AL997" s="34"/>
      <c r="AM997" s="34"/>
      <c r="AN997" s="34"/>
      <c r="AO997" s="34"/>
      <c r="AP997" s="34"/>
      <c r="AQ997" s="34"/>
      <c r="AR997" s="34"/>
      <c r="AS997" s="34"/>
      <c r="AT997" s="34"/>
      <c r="AU997" s="34"/>
      <c r="AV997" s="34"/>
      <c r="AW997" s="34"/>
      <c r="AX997" s="34"/>
      <c r="AY997" s="34"/>
      <c r="AZ997" s="34"/>
    </row>
    <row r="998" spans="1:52" x14ac:dyDescent="0.2">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c r="AF998" s="34"/>
      <c r="AG998" s="34"/>
      <c r="AH998" s="34"/>
      <c r="AI998" s="34"/>
      <c r="AJ998" s="34"/>
      <c r="AK998" s="34"/>
      <c r="AL998" s="34"/>
      <c r="AM998" s="34"/>
      <c r="AN998" s="34"/>
      <c r="AO998" s="34"/>
      <c r="AP998" s="34"/>
      <c r="AQ998" s="34"/>
      <c r="AR998" s="34"/>
      <c r="AS998" s="34"/>
      <c r="AT998" s="34"/>
      <c r="AU998" s="34"/>
      <c r="AV998" s="34"/>
      <c r="AW998" s="34"/>
      <c r="AX998" s="34"/>
      <c r="AY998" s="34"/>
      <c r="AZ998" s="34"/>
    </row>
    <row r="999" spans="1:52" x14ac:dyDescent="0.2">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c r="AF999" s="34"/>
      <c r="AG999" s="34"/>
      <c r="AH999" s="34"/>
      <c r="AI999" s="34"/>
      <c r="AJ999" s="34"/>
      <c r="AK999" s="34"/>
      <c r="AL999" s="34"/>
      <c r="AM999" s="34"/>
      <c r="AN999" s="34"/>
      <c r="AO999" s="34"/>
      <c r="AP999" s="34"/>
      <c r="AQ999" s="34"/>
      <c r="AR999" s="34"/>
      <c r="AS999" s="34"/>
      <c r="AT999" s="34"/>
      <c r="AU999" s="34"/>
      <c r="AV999" s="34"/>
      <c r="AW999" s="34"/>
      <c r="AX999" s="34"/>
      <c r="AY999" s="34"/>
      <c r="AZ999" s="34"/>
    </row>
    <row r="1000" spans="1:52" x14ac:dyDescent="0.2">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c r="AF1000" s="34"/>
      <c r="AG1000" s="34"/>
      <c r="AH1000" s="34"/>
      <c r="AI1000" s="34"/>
      <c r="AJ1000" s="34"/>
      <c r="AK1000" s="34"/>
      <c r="AL1000" s="34"/>
      <c r="AM1000" s="34"/>
      <c r="AN1000" s="34"/>
      <c r="AO1000" s="34"/>
      <c r="AP1000" s="34"/>
      <c r="AQ1000" s="34"/>
      <c r="AR1000" s="34"/>
      <c r="AS1000" s="34"/>
      <c r="AT1000" s="34"/>
      <c r="AU1000" s="34"/>
      <c r="AV1000" s="34"/>
      <c r="AW1000" s="34"/>
      <c r="AX1000" s="34"/>
      <c r="AY1000" s="34"/>
      <c r="AZ1000" s="34"/>
    </row>
  </sheetData>
  <mergeCells count="6">
    <mergeCell ref="D3:E6"/>
    <mergeCell ref="D8:E13"/>
    <mergeCell ref="J3:M3"/>
    <mergeCell ref="J5:M7"/>
    <mergeCell ref="J9:M11"/>
    <mergeCell ref="J13:M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C18:D58"/>
  <sheetViews>
    <sheetView workbookViewId="0"/>
  </sheetViews>
  <sheetFormatPr baseColWidth="10" defaultColWidth="8.83203125" defaultRowHeight="15" x14ac:dyDescent="0.2"/>
  <sheetData>
    <row r="18" spans="3:4" x14ac:dyDescent="0.2">
      <c r="C18" t="s">
        <v>42</v>
      </c>
      <c r="D18" t="s">
        <v>43</v>
      </c>
    </row>
    <row r="19" spans="3:4" x14ac:dyDescent="0.2">
      <c r="C19" t="s">
        <v>47</v>
      </c>
      <c r="D19" t="s">
        <v>48</v>
      </c>
    </row>
    <row r="20" spans="3:4" x14ac:dyDescent="0.2">
      <c r="C20" t="s">
        <v>50</v>
      </c>
      <c r="D20" t="s">
        <v>51</v>
      </c>
    </row>
    <row r="21" spans="3:4" x14ac:dyDescent="0.2">
      <c r="C21" t="s">
        <v>53</v>
      </c>
      <c r="D21" t="s">
        <v>54</v>
      </c>
    </row>
    <row r="22" spans="3:4" x14ac:dyDescent="0.2">
      <c r="C22" t="s">
        <v>56</v>
      </c>
      <c r="D22" t="s">
        <v>57</v>
      </c>
    </row>
    <row r="23" spans="3:4" x14ac:dyDescent="0.2">
      <c r="C23" t="s">
        <v>59</v>
      </c>
      <c r="D23" t="s">
        <v>60</v>
      </c>
    </row>
    <row r="24" spans="3:4" x14ac:dyDescent="0.2">
      <c r="C24" t="s">
        <v>62</v>
      </c>
      <c r="D24" t="s">
        <v>63</v>
      </c>
    </row>
    <row r="25" spans="3:4" x14ac:dyDescent="0.2">
      <c r="C25" t="s">
        <v>65</v>
      </c>
      <c r="D25" t="s">
        <v>66</v>
      </c>
    </row>
    <row r="26" spans="3:4" x14ac:dyDescent="0.2">
      <c r="C26" t="s">
        <v>68</v>
      </c>
      <c r="D26" t="s">
        <v>69</v>
      </c>
    </row>
    <row r="27" spans="3:4" x14ac:dyDescent="0.2">
      <c r="C27" t="s">
        <v>71</v>
      </c>
      <c r="D27" t="s">
        <v>72</v>
      </c>
    </row>
    <row r="28" spans="3:4" x14ac:dyDescent="0.2">
      <c r="C28" t="s">
        <v>74</v>
      </c>
      <c r="D28" t="s">
        <v>75</v>
      </c>
    </row>
    <row r="29" spans="3:4" x14ac:dyDescent="0.2">
      <c r="C29" t="s">
        <v>77</v>
      </c>
      <c r="D29" t="s">
        <v>78</v>
      </c>
    </row>
    <row r="30" spans="3:4" x14ac:dyDescent="0.2">
      <c r="C30" t="s">
        <v>80</v>
      </c>
      <c r="D30" t="s">
        <v>81</v>
      </c>
    </row>
    <row r="31" spans="3:4" x14ac:dyDescent="0.2">
      <c r="C31" t="s">
        <v>83</v>
      </c>
      <c r="D31" t="s">
        <v>84</v>
      </c>
    </row>
    <row r="32" spans="3:4" x14ac:dyDescent="0.2">
      <c r="C32" t="s">
        <v>86</v>
      </c>
      <c r="D32" t="s">
        <v>87</v>
      </c>
    </row>
    <row r="33" spans="3:4" x14ac:dyDescent="0.2">
      <c r="C33" t="s">
        <v>89</v>
      </c>
      <c r="D33" t="s">
        <v>90</v>
      </c>
    </row>
    <row r="34" spans="3:4" x14ac:dyDescent="0.2">
      <c r="C34" t="s">
        <v>92</v>
      </c>
      <c r="D34" t="s">
        <v>93</v>
      </c>
    </row>
    <row r="35" spans="3:4" x14ac:dyDescent="0.2">
      <c r="C35" t="s">
        <v>95</v>
      </c>
      <c r="D35" t="s">
        <v>96</v>
      </c>
    </row>
    <row r="36" spans="3:4" x14ac:dyDescent="0.2">
      <c r="C36" t="s">
        <v>98</v>
      </c>
      <c r="D36" t="s">
        <v>99</v>
      </c>
    </row>
    <row r="37" spans="3:4" x14ac:dyDescent="0.2">
      <c r="C37" t="s">
        <v>101</v>
      </c>
      <c r="D37" t="s">
        <v>102</v>
      </c>
    </row>
    <row r="38" spans="3:4" x14ac:dyDescent="0.2">
      <c r="C38" t="s">
        <v>104</v>
      </c>
      <c r="D38" t="s">
        <v>105</v>
      </c>
    </row>
    <row r="39" spans="3:4" x14ac:dyDescent="0.2">
      <c r="C39" t="s">
        <v>107</v>
      </c>
      <c r="D39" t="s">
        <v>108</v>
      </c>
    </row>
    <row r="40" spans="3:4" x14ac:dyDescent="0.2">
      <c r="C40" t="s">
        <v>110</v>
      </c>
      <c r="D40" t="s">
        <v>111</v>
      </c>
    </row>
    <row r="41" spans="3:4" x14ac:dyDescent="0.2">
      <c r="C41" t="s">
        <v>113</v>
      </c>
      <c r="D41" t="s">
        <v>114</v>
      </c>
    </row>
    <row r="42" spans="3:4" x14ac:dyDescent="0.2">
      <c r="C42" t="s">
        <v>116</v>
      </c>
      <c r="D42" t="s">
        <v>117</v>
      </c>
    </row>
    <row r="43" spans="3:4" x14ac:dyDescent="0.2">
      <c r="C43" t="s">
        <v>119</v>
      </c>
      <c r="D43" t="s">
        <v>120</v>
      </c>
    </row>
    <row r="44" spans="3:4" x14ac:dyDescent="0.2">
      <c r="C44" t="s">
        <v>122</v>
      </c>
      <c r="D44" t="s">
        <v>123</v>
      </c>
    </row>
    <row r="45" spans="3:4" x14ac:dyDescent="0.2">
      <c r="C45" t="s">
        <v>125</v>
      </c>
      <c r="D45" t="s">
        <v>126</v>
      </c>
    </row>
    <row r="46" spans="3:4" x14ac:dyDescent="0.2">
      <c r="C46" t="s">
        <v>128</v>
      </c>
      <c r="D46" t="s">
        <v>129</v>
      </c>
    </row>
    <row r="47" spans="3:4" x14ac:dyDescent="0.2">
      <c r="C47" t="s">
        <v>131</v>
      </c>
      <c r="D47" t="s">
        <v>132</v>
      </c>
    </row>
    <row r="48" spans="3:4" x14ac:dyDescent="0.2">
      <c r="C48" t="s">
        <v>134</v>
      </c>
      <c r="D48" t="s">
        <v>135</v>
      </c>
    </row>
    <row r="49" spans="3:4" x14ac:dyDescent="0.2">
      <c r="C49" t="s">
        <v>137</v>
      </c>
      <c r="D49" t="s">
        <v>138</v>
      </c>
    </row>
    <row r="50" spans="3:4" x14ac:dyDescent="0.2">
      <c r="C50" t="s">
        <v>140</v>
      </c>
      <c r="D50" t="s">
        <v>141</v>
      </c>
    </row>
    <row r="51" spans="3:4" x14ac:dyDescent="0.2">
      <c r="C51" t="s">
        <v>143</v>
      </c>
      <c r="D51" t="s">
        <v>144</v>
      </c>
    </row>
    <row r="54" spans="3:4" x14ac:dyDescent="0.2">
      <c r="C54" t="s">
        <v>150</v>
      </c>
      <c r="D54" t="s">
        <v>151</v>
      </c>
    </row>
    <row r="55" spans="3:4" x14ac:dyDescent="0.2">
      <c r="C55" t="s">
        <v>150</v>
      </c>
      <c r="D55" t="s">
        <v>151</v>
      </c>
    </row>
    <row r="56" spans="3:4" x14ac:dyDescent="0.2">
      <c r="C56" t="s">
        <v>150</v>
      </c>
      <c r="D56" t="s">
        <v>151</v>
      </c>
    </row>
    <row r="57" spans="3:4" x14ac:dyDescent="0.2">
      <c r="C57" t="s">
        <v>150</v>
      </c>
      <c r="D57" t="s">
        <v>151</v>
      </c>
    </row>
    <row r="58" spans="3:4" x14ac:dyDescent="0.2">
      <c r="C58" t="s">
        <v>150</v>
      </c>
      <c r="D58"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White Sheet</vt:lpstr>
      <vt:lpstr>Green Sheet</vt:lpstr>
      <vt:lpstr>External Marks</vt:lpstr>
      <vt:lpstr>Roughwork Sheet</vt:lpstr>
      <vt:lpstr>'External Marks'!ExtMarks</vt:lpstr>
      <vt:lpstr>'External Marks'!ExtMarksRHS</vt:lpstr>
      <vt:lpstr>'Green Sheet'!GSheetAB</vt:lpstr>
      <vt:lpstr>'Green Sheet'!Print_Area</vt:lpstr>
      <vt:lpstr>'White Sheet'!Print_Area</vt:lpstr>
      <vt:lpstr>'White Sheet'!SpecialGrade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Mairead Meagher</cp:lastModifiedBy>
  <dcterms:modified xsi:type="dcterms:W3CDTF">2026-05-12T06:13:45Z</dcterms:modified>
</cp:coreProperties>
</file>