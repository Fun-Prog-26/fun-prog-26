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ireadmeagher/Documents/GitRepos/fun-prog-25/topic000-assignmentswip/book-4/archives/"/>
    </mc:Choice>
  </mc:AlternateContent>
  <xr:revisionPtr revIDLastSave="0" documentId="13_ncr:1_{96A1FC1C-C8CC-7B49-8504-2234663636E3}" xr6:coauthVersionLast="47" xr6:coauthVersionMax="47" xr10:uidLastSave="{00000000-0000-0000-0000-000000000000}"/>
  <bookViews>
    <workbookView xWindow="0" yWindow="760" windowWidth="29780" windowHeight="17800" xr2:uid="{00000000-000D-0000-FFFF-FFFF00000000}"/>
  </bookViews>
  <sheets>
    <sheet name="Prog Assign Marking Schem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6" l="1"/>
  <c r="AF5" i="6" s="1"/>
</calcChain>
</file>

<file path=xl/sharedStrings.xml><?xml version="1.0" encoding="utf-8"?>
<sst xmlns="http://schemas.openxmlformats.org/spreadsheetml/2006/main" count="45" uniqueCount="43">
  <si>
    <t>Comment</t>
  </si>
  <si>
    <t>Appropriateness of data design (13%)</t>
  </si>
  <si>
    <t>Validations (38%)</t>
  </si>
  <si>
    <t>Generation of Documents (27%)</t>
  </si>
  <si>
    <t>Programming Style (13%)</t>
  </si>
  <si>
    <t>Documentation (6%)</t>
  </si>
  <si>
    <t>Entities</t>
  </si>
  <si>
    <t>Data Types</t>
  </si>
  <si>
    <t>Csv files</t>
  </si>
  <si>
    <t>Entity fields(including primary key) (18%)</t>
  </si>
  <si>
    <t>Foreign Keys (4%)</t>
  </si>
  <si>
    <t>Allocations (3%)</t>
  </si>
  <si>
    <t>Timetable(16%)</t>
  </si>
  <si>
    <t xml:space="preserve">Csv files / entities(12 %) </t>
  </si>
  <si>
    <t>Timetables (15%)</t>
  </si>
  <si>
    <t xml:space="preserve">Stack structure </t>
  </si>
  <si>
    <t>properties.yaml (dependencies tidied up - in library: and executables:  as appropriate</t>
  </si>
  <si>
    <t>Breakdown of functionality into cohesive functions and files</t>
  </si>
  <si>
    <t>Elegance of code including Haskell idiom</t>
  </si>
  <si>
    <t>GitHub Classroom commits and messages</t>
  </si>
  <si>
    <t xml:space="preserve">Readme.md reflection on process </t>
  </si>
  <si>
    <t xml:space="preserve">Extras (wow) </t>
  </si>
  <si>
    <t xml:space="preserve">Total </t>
  </si>
  <si>
    <t>Interview</t>
  </si>
  <si>
    <t>Lecturer</t>
  </si>
  <si>
    <t>Course</t>
  </si>
  <si>
    <t>Rooms</t>
  </si>
  <si>
    <t>Groups</t>
  </si>
  <si>
    <t>Modules</t>
  </si>
  <si>
    <t>Programmes</t>
  </si>
  <si>
    <t>Allocations</t>
  </si>
  <si>
    <t xml:space="preserve">Lecturer is allocated &lt;= hours as per ‘Available hours) </t>
  </si>
  <si>
    <t>No clashes for Groups</t>
  </si>
  <si>
    <t>No clashes for Lecturers</t>
  </si>
  <si>
    <t>No clashes for Rooms</t>
  </si>
  <si>
    <t>Module fully timetabled</t>
  </si>
  <si>
    <t>Report on csv files</t>
  </si>
  <si>
    <t xml:space="preserve">Report on allocation </t>
  </si>
  <si>
    <t>Report on timetable</t>
  </si>
  <si>
    <t xml:space="preserve">Timetable for Groups (students) </t>
  </si>
  <si>
    <t>Timetable for Lecturers</t>
  </si>
  <si>
    <t>Timetable for Rooms</t>
  </si>
  <si>
    <t>Programming Assignment 40% Indicitave Marking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</si>
</sst>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</font>
    <font>
      <sz val="15"/>
      <color indexed="8"/>
      <name val="Calibri"/>
      <family val="2"/>
    </font>
    <font>
      <b/>
      <sz val="11"/>
      <color indexed="8"/>
      <name val="Calibri"/>
      <family val="2"/>
    </font>
    <font>
      <sz val="13"/>
      <color indexed="8"/>
      <name val="Arial"/>
      <family val="2"/>
    </font>
    <font>
      <b/>
      <u/>
      <sz val="11"/>
      <color indexed="8"/>
      <name val="Calibri"/>
      <family val="2"/>
    </font>
    <font>
      <sz val="10"/>
      <color indexed="8"/>
      <name val="Arial"/>
      <family val="2"/>
    </font>
    <font>
      <b/>
      <sz val="18"/>
      <color indexed="8"/>
      <name val="Calibri"/>
      <family val="2"/>
    </font>
    <font>
      <sz val="18"/>
      <color indexed="8"/>
      <name val="Calibri"/>
      <family val="2"/>
    </font>
    <font>
      <b/>
      <sz val="26"/>
      <color indexed="8"/>
      <name val="Helvetica Neue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15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8"/>
      </bottom>
      <diagonal/>
    </border>
    <border>
      <left style="thin">
        <color indexed="18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thin">
        <color indexed="16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1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62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3" xfId="0" applyBorder="1"/>
    <xf numFmtId="49" fontId="2" fillId="2" borderId="4" xfId="0" applyNumberFormat="1" applyFont="1" applyFill="1" applyBorder="1" applyAlignment="1">
      <alignment horizontal="center" wrapText="1"/>
    </xf>
    <xf numFmtId="0" fontId="2" fillId="0" borderId="8" xfId="0" applyFont="1" applyBorder="1" applyAlignment="1">
      <alignment wrapText="1"/>
    </xf>
    <xf numFmtId="49" fontId="2" fillId="3" borderId="4" xfId="0" applyNumberFormat="1" applyFont="1" applyFill="1" applyBorder="1" applyAlignment="1">
      <alignment wrapText="1"/>
    </xf>
    <xf numFmtId="49" fontId="2" fillId="5" borderId="4" xfId="0" applyNumberFormat="1" applyFont="1" applyFill="1" applyBorder="1" applyAlignment="1">
      <alignment wrapText="1"/>
    </xf>
    <xf numFmtId="49" fontId="2" fillId="6" borderId="4" xfId="0" applyNumberFormat="1" applyFont="1" applyFill="1" applyBorder="1" applyAlignment="1">
      <alignment wrapText="1"/>
    </xf>
    <xf numFmtId="49" fontId="2" fillId="7" borderId="4" xfId="0" applyNumberFormat="1" applyFont="1" applyFill="1" applyBorder="1" applyAlignment="1">
      <alignment horizontal="center" wrapText="1"/>
    </xf>
    <xf numFmtId="49" fontId="2" fillId="8" borderId="4" xfId="0" applyNumberFormat="1" applyFont="1" applyFill="1" applyBorder="1" applyAlignment="1">
      <alignment horizontal="center" wrapText="1"/>
    </xf>
    <xf numFmtId="49" fontId="2" fillId="9" borderId="4" xfId="0" applyNumberFormat="1" applyFont="1" applyFill="1" applyBorder="1" applyAlignment="1">
      <alignment horizontal="center" wrapText="1"/>
    </xf>
    <xf numFmtId="49" fontId="2" fillId="0" borderId="8" xfId="0" applyNumberFormat="1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49" fontId="2" fillId="4" borderId="4" xfId="0" applyNumberFormat="1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7" borderId="4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2" borderId="4" xfId="0" applyNumberFormat="1" applyFont="1" applyFill="1" applyBorder="1"/>
    <xf numFmtId="0" fontId="2" fillId="3" borderId="4" xfId="0" applyNumberFormat="1" applyFont="1" applyFill="1" applyBorder="1"/>
    <xf numFmtId="0" fontId="2" fillId="4" borderId="4" xfId="0" applyNumberFormat="1" applyFont="1" applyFill="1" applyBorder="1"/>
    <xf numFmtId="0" fontId="4" fillId="5" borderId="4" xfId="0" applyNumberFormat="1" applyFont="1" applyFill="1" applyBorder="1"/>
    <xf numFmtId="0" fontId="2" fillId="5" borderId="4" xfId="0" applyNumberFormat="1" applyFont="1" applyFill="1" applyBorder="1"/>
    <xf numFmtId="0" fontId="2" fillId="6" borderId="4" xfId="0" applyNumberFormat="1" applyFont="1" applyFill="1" applyBorder="1"/>
    <xf numFmtId="0" fontId="2" fillId="7" borderId="4" xfId="0" applyNumberFormat="1" applyFont="1" applyFill="1" applyBorder="1"/>
    <xf numFmtId="0" fontId="2" fillId="8" borderId="4" xfId="0" applyNumberFormat="1" applyFont="1" applyFill="1" applyBorder="1"/>
    <xf numFmtId="0" fontId="2" fillId="9" borderId="4" xfId="0" applyNumberFormat="1" applyFont="1" applyFill="1" applyBorder="1"/>
    <xf numFmtId="0" fontId="0" fillId="0" borderId="8" xfId="0" applyBorder="1" applyAlignment="1">
      <alignment wrapText="1"/>
    </xf>
    <xf numFmtId="49" fontId="5" fillId="0" borderId="3" xfId="0" applyNumberFormat="1" applyFont="1" applyBorder="1"/>
    <xf numFmtId="49" fontId="5" fillId="0" borderId="1" xfId="0" applyNumberFormat="1" applyFont="1" applyBorder="1"/>
    <xf numFmtId="0" fontId="5" fillId="0" borderId="3" xfId="0" applyFont="1" applyBorder="1"/>
    <xf numFmtId="0" fontId="5" fillId="0" borderId="1" xfId="0" applyFont="1" applyBorder="1"/>
    <xf numFmtId="0" fontId="3" fillId="0" borderId="3" xfId="0" applyFont="1" applyBorder="1" applyAlignment="1">
      <alignment horizontal="right" readingOrder="1"/>
    </xf>
    <xf numFmtId="0" fontId="3" fillId="0" borderId="1" xfId="0" applyFont="1" applyBorder="1" applyAlignment="1">
      <alignment horizontal="right" readingOrder="1"/>
    </xf>
    <xf numFmtId="0" fontId="5" fillId="0" borderId="1" xfId="0" applyNumberFormat="1" applyFont="1" applyBorder="1"/>
    <xf numFmtId="49" fontId="5" fillId="0" borderId="1" xfId="0" applyNumberFormat="1" applyFont="1" applyBorder="1" applyAlignment="1">
      <alignment wrapText="1"/>
    </xf>
    <xf numFmtId="0" fontId="2" fillId="2" borderId="4" xfId="0" applyFont="1" applyFill="1" applyBorder="1"/>
    <xf numFmtId="49" fontId="2" fillId="3" borderId="4" xfId="0" applyNumberFormat="1" applyFont="1" applyFill="1" applyBorder="1" applyAlignment="1">
      <alignment horizontal="center" wrapText="1"/>
    </xf>
    <xf numFmtId="49" fontId="2" fillId="4" borderId="9" xfId="0" applyNumberFormat="1" applyFont="1" applyFill="1" applyBorder="1" applyAlignment="1">
      <alignment horizontal="center" wrapText="1"/>
    </xf>
    <xf numFmtId="0" fontId="2" fillId="2" borderId="9" xfId="0" applyFont="1" applyFill="1" applyBorder="1"/>
    <xf numFmtId="0" fontId="1" fillId="0" borderId="0" xfId="0" applyFont="1" applyAlignment="1">
      <alignment vertical="center"/>
    </xf>
    <xf numFmtId="49" fontId="6" fillId="2" borderId="10" xfId="0" applyNumberFormat="1" applyFont="1" applyFill="1" applyBorder="1" applyAlignment="1">
      <alignment horizontal="center" wrapText="1"/>
    </xf>
    <xf numFmtId="49" fontId="6" fillId="2" borderId="11" xfId="0" applyNumberFormat="1" applyFont="1" applyFill="1" applyBorder="1" applyAlignment="1">
      <alignment horizontal="center" wrapText="1"/>
    </xf>
    <xf numFmtId="49" fontId="6" fillId="2" borderId="12" xfId="0" applyNumberFormat="1" applyFont="1" applyFill="1" applyBorder="1" applyAlignment="1">
      <alignment horizontal="center" wrapText="1"/>
    </xf>
    <xf numFmtId="49" fontId="6" fillId="3" borderId="4" xfId="0" applyNumberFormat="1" applyFont="1" applyFill="1" applyBorder="1" applyAlignment="1">
      <alignment horizontal="center" wrapText="1"/>
    </xf>
    <xf numFmtId="0" fontId="6" fillId="2" borderId="5" xfId="0" applyFont="1" applyFill="1" applyBorder="1"/>
    <xf numFmtId="0" fontId="6" fillId="2" borderId="4" xfId="0" applyFont="1" applyFill="1" applyBorder="1"/>
    <xf numFmtId="0" fontId="6" fillId="2" borderId="6" xfId="0" applyFont="1" applyFill="1" applyBorder="1"/>
    <xf numFmtId="49" fontId="6" fillId="4" borderId="2" xfId="0" applyNumberFormat="1" applyFont="1" applyFill="1" applyBorder="1" applyAlignment="1">
      <alignment horizontal="center" wrapText="1"/>
    </xf>
    <xf numFmtId="0" fontId="6" fillId="2" borderId="2" xfId="0" applyFont="1" applyFill="1" applyBorder="1"/>
    <xf numFmtId="49" fontId="6" fillId="5" borderId="7" xfId="0" applyNumberFormat="1" applyFont="1" applyFill="1" applyBorder="1" applyAlignment="1">
      <alignment horizontal="center" wrapText="1"/>
    </xf>
    <xf numFmtId="49" fontId="6" fillId="6" borderId="4" xfId="0" applyNumberFormat="1" applyFont="1" applyFill="1" applyBorder="1" applyAlignment="1">
      <alignment horizontal="center" wrapText="1"/>
    </xf>
    <xf numFmtId="0" fontId="6" fillId="2" borderId="5" xfId="0" applyFont="1" applyFill="1" applyBorder="1" applyAlignment="1">
      <alignment wrapText="1"/>
    </xf>
    <xf numFmtId="0" fontId="6" fillId="7" borderId="4" xfId="0" applyFont="1" applyFill="1" applyBorder="1"/>
    <xf numFmtId="0" fontId="6" fillId="8" borderId="4" xfId="0" applyFont="1" applyFill="1" applyBorder="1"/>
    <xf numFmtId="0" fontId="6" fillId="9" borderId="4" xfId="0" applyFont="1" applyFill="1" applyBorder="1"/>
    <xf numFmtId="0" fontId="6" fillId="0" borderId="8" xfId="0" applyFont="1" applyBorder="1" applyAlignment="1">
      <alignment wrapText="1"/>
    </xf>
    <xf numFmtId="0" fontId="7" fillId="0" borderId="0" xfId="0" applyNumberFormat="1" applyFont="1"/>
    <xf numFmtId="0" fontId="8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DBDBDB"/>
      <rgbColor rgb="FFFCFCFC"/>
      <rgbColor rgb="FFAAAAAA"/>
      <rgbColor rgb="FFBDC0BF"/>
      <rgbColor rgb="FFA5A5A5"/>
      <rgbColor rgb="FFFFFFFF"/>
      <rgbColor rgb="FF3F3F3F"/>
      <rgbColor rgb="FF7C9547"/>
      <rgbColor rgb="FF97C0A8"/>
      <rgbColor rgb="FFC0A327"/>
      <rgbColor rgb="FFC08F53"/>
      <rgbColor rgb="FF949DC0"/>
      <rgbColor rgb="FFC0969B"/>
      <rgbColor rgb="FF88C072"/>
      <rgbColor rgb="FF94C0B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31"/>
  <sheetViews>
    <sheetView showGridLines="0" tabSelected="1" zoomScale="64" zoomScaleNormal="64" workbookViewId="0">
      <pane xSplit="1" ySplit="5" topLeftCell="B6" activePane="bottomRight" state="frozen"/>
      <selection pane="topRight"/>
      <selection pane="bottomLeft"/>
      <selection pane="bottomRight" sqref="A1:AF1"/>
    </sheetView>
  </sheetViews>
  <sheetFormatPr baseColWidth="10" defaultColWidth="16.33203125" defaultRowHeight="15.5" customHeight="1" x14ac:dyDescent="0.2"/>
  <cols>
    <col min="1" max="1" width="10.6640625" style="1" customWidth="1"/>
    <col min="2" max="3" width="8.5" style="1" customWidth="1"/>
    <col min="4" max="4" width="8.1640625" style="1" customWidth="1"/>
    <col min="5" max="5" width="6.1640625" style="1" customWidth="1"/>
    <col min="6" max="6" width="8.33203125" style="1" customWidth="1"/>
    <col min="7" max="7" width="10" style="1" customWidth="1"/>
    <col min="8" max="8" width="7.83203125" style="1" customWidth="1"/>
    <col min="9" max="9" width="10.83203125" style="1" customWidth="1"/>
    <col min="10" max="10" width="7.5" style="1" customWidth="1"/>
    <col min="11" max="11" width="9.83203125" style="1" customWidth="1"/>
    <col min="12" max="12" width="9.33203125" style="1" customWidth="1"/>
    <col min="13" max="13" width="11.33203125" style="1" customWidth="1"/>
    <col min="14" max="15" width="8.6640625" style="1" customWidth="1"/>
    <col min="16" max="16" width="9.6640625" style="1" customWidth="1"/>
    <col min="17" max="17" width="9.5" style="1" customWidth="1"/>
    <col min="18" max="18" width="10.83203125" style="1" customWidth="1"/>
    <col min="19" max="22" width="9.83203125" style="1" customWidth="1"/>
    <col min="23" max="23" width="9.1640625" style="1" customWidth="1"/>
    <col min="24" max="32" width="16.33203125" style="1" customWidth="1"/>
    <col min="33" max="33" width="67.5" style="1" customWidth="1"/>
    <col min="34" max="34" width="16.33203125" style="1" customWidth="1"/>
    <col min="35" max="16384" width="16.33203125" style="1"/>
  </cols>
  <sheetData>
    <row r="1" spans="1:33" ht="129" customHeight="1" x14ac:dyDescent="0.2">
      <c r="A1" s="61" t="s">
        <v>42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43"/>
    </row>
    <row r="2" spans="1:33" s="60" customFormat="1" ht="55" customHeight="1" x14ac:dyDescent="0.3">
      <c r="A2" s="44" t="s">
        <v>1</v>
      </c>
      <c r="B2" s="45"/>
      <c r="C2" s="46"/>
      <c r="D2" s="47" t="s">
        <v>2</v>
      </c>
      <c r="E2" s="48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51" t="s">
        <v>3</v>
      </c>
      <c r="R2" s="52"/>
      <c r="S2" s="52"/>
      <c r="T2" s="52"/>
      <c r="U2" s="52"/>
      <c r="V2" s="52"/>
      <c r="W2" s="53" t="s">
        <v>4</v>
      </c>
      <c r="X2" s="49"/>
      <c r="Y2" s="49"/>
      <c r="Z2" s="49"/>
      <c r="AA2" s="54" t="s">
        <v>5</v>
      </c>
      <c r="AB2" s="49"/>
      <c r="AC2" s="55"/>
      <c r="AD2" s="56"/>
      <c r="AE2" s="57"/>
      <c r="AF2" s="58"/>
      <c r="AG2" s="59"/>
    </row>
    <row r="3" spans="1:33" ht="75" customHeight="1" x14ac:dyDescent="0.2">
      <c r="A3" s="4" t="s">
        <v>6</v>
      </c>
      <c r="B3" s="4" t="s">
        <v>7</v>
      </c>
      <c r="C3" s="4" t="s">
        <v>8</v>
      </c>
      <c r="D3" s="40" t="s">
        <v>9</v>
      </c>
      <c r="E3" s="39"/>
      <c r="F3" s="39"/>
      <c r="G3" s="39"/>
      <c r="H3" s="39"/>
      <c r="I3" s="39"/>
      <c r="J3" s="40" t="s">
        <v>10</v>
      </c>
      <c r="K3" s="39"/>
      <c r="L3" s="6" t="s">
        <v>11</v>
      </c>
      <c r="M3" s="40" t="s">
        <v>12</v>
      </c>
      <c r="N3" s="39"/>
      <c r="O3" s="39"/>
      <c r="P3" s="39"/>
      <c r="Q3" s="41" t="s">
        <v>13</v>
      </c>
      <c r="R3" s="42"/>
      <c r="S3" s="42"/>
      <c r="T3" s="41" t="s">
        <v>14</v>
      </c>
      <c r="U3" s="42"/>
      <c r="V3" s="42"/>
      <c r="W3" s="7" t="s">
        <v>15</v>
      </c>
      <c r="X3" s="7" t="s">
        <v>16</v>
      </c>
      <c r="Y3" s="7" t="s">
        <v>17</v>
      </c>
      <c r="Z3" s="7" t="s">
        <v>18</v>
      </c>
      <c r="AA3" s="8" t="s">
        <v>19</v>
      </c>
      <c r="AB3" s="8" t="s">
        <v>20</v>
      </c>
      <c r="AC3" s="4" t="s">
        <v>21</v>
      </c>
      <c r="AD3" s="9" t="s">
        <v>22</v>
      </c>
      <c r="AE3" s="10" t="s">
        <v>23</v>
      </c>
      <c r="AF3" s="11" t="s">
        <v>22</v>
      </c>
      <c r="AG3" s="12" t="s">
        <v>0</v>
      </c>
    </row>
    <row r="4" spans="1:33" ht="78.5" customHeight="1" x14ac:dyDescent="0.2">
      <c r="A4" s="13"/>
      <c r="B4" s="13"/>
      <c r="C4" s="13"/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27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14" t="s">
        <v>36</v>
      </c>
      <c r="R4" s="14" t="s">
        <v>37</v>
      </c>
      <c r="S4" s="14" t="s">
        <v>38</v>
      </c>
      <c r="T4" s="14" t="s">
        <v>39</v>
      </c>
      <c r="U4" s="14" t="s">
        <v>40</v>
      </c>
      <c r="V4" s="14" t="s">
        <v>41</v>
      </c>
      <c r="W4" s="15"/>
      <c r="X4" s="15"/>
      <c r="Y4" s="15"/>
      <c r="Z4" s="15"/>
      <c r="AA4" s="16"/>
      <c r="AB4" s="16"/>
      <c r="AC4" s="13"/>
      <c r="AD4" s="17"/>
      <c r="AE4" s="18"/>
      <c r="AF4" s="19"/>
      <c r="AG4" s="20"/>
    </row>
    <row r="5" spans="1:33" ht="27.5" customHeight="1" x14ac:dyDescent="0.2">
      <c r="A5" s="21">
        <v>5</v>
      </c>
      <c r="B5" s="21">
        <v>5</v>
      </c>
      <c r="C5" s="21">
        <v>3</v>
      </c>
      <c r="D5" s="22">
        <v>3</v>
      </c>
      <c r="E5" s="22">
        <v>3</v>
      </c>
      <c r="F5" s="22">
        <v>3</v>
      </c>
      <c r="G5" s="22">
        <v>3</v>
      </c>
      <c r="H5" s="22">
        <v>3</v>
      </c>
      <c r="I5" s="22">
        <v>3</v>
      </c>
      <c r="J5" s="22">
        <v>2</v>
      </c>
      <c r="K5" s="22">
        <v>2</v>
      </c>
      <c r="L5" s="22">
        <v>3</v>
      </c>
      <c r="M5" s="22">
        <v>4</v>
      </c>
      <c r="N5" s="22">
        <v>4</v>
      </c>
      <c r="O5" s="22">
        <v>4</v>
      </c>
      <c r="P5" s="22">
        <v>4</v>
      </c>
      <c r="Q5" s="23">
        <v>4</v>
      </c>
      <c r="R5" s="23">
        <v>4</v>
      </c>
      <c r="S5" s="23">
        <v>4</v>
      </c>
      <c r="T5" s="23">
        <v>5</v>
      </c>
      <c r="U5" s="23">
        <v>5</v>
      </c>
      <c r="V5" s="23">
        <v>5</v>
      </c>
      <c r="W5" s="24">
        <v>2</v>
      </c>
      <c r="X5" s="25">
        <v>2</v>
      </c>
      <c r="Y5" s="25">
        <v>3</v>
      </c>
      <c r="Z5" s="25">
        <v>6</v>
      </c>
      <c r="AA5" s="26">
        <v>2</v>
      </c>
      <c r="AB5" s="26">
        <v>4</v>
      </c>
      <c r="AC5" s="21">
        <v>10</v>
      </c>
      <c r="AD5" s="27">
        <f>MIN(100,SUM(A$5:AC$5))</f>
        <v>100</v>
      </c>
      <c r="AE5" s="28">
        <v>100</v>
      </c>
      <c r="AF5" s="29">
        <f t="shared" ref="AF5" si="0">AD5*AE5/100</f>
        <v>100</v>
      </c>
      <c r="AG5" s="5"/>
    </row>
    <row r="6" spans="1:33" ht="27.5" customHeight="1" x14ac:dyDescent="0.2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0"/>
      <c r="AD6" s="30"/>
      <c r="AE6" s="30"/>
      <c r="AF6" s="30"/>
      <c r="AG6" s="30"/>
    </row>
    <row r="7" spans="1:33" ht="27.5" customHeight="1" x14ac:dyDescent="0.2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0"/>
      <c r="AD7" s="30"/>
      <c r="AE7" s="30"/>
      <c r="AF7" s="30"/>
      <c r="AG7" s="30"/>
    </row>
    <row r="8" spans="1:33" ht="27.5" customHeight="1" x14ac:dyDescent="0.2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30"/>
      <c r="AD8" s="30"/>
      <c r="AE8" s="30"/>
      <c r="AF8" s="30"/>
      <c r="AG8" s="30"/>
    </row>
    <row r="9" spans="1:33" ht="27.5" customHeight="1" x14ac:dyDescent="0.2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30"/>
      <c r="AD9" s="30"/>
      <c r="AE9" s="30"/>
      <c r="AF9" s="30"/>
      <c r="AG9" s="30"/>
    </row>
    <row r="10" spans="1:33" ht="27.5" customHeight="1" x14ac:dyDescent="0.2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0"/>
      <c r="AD10" s="30"/>
      <c r="AE10" s="30"/>
      <c r="AF10" s="30"/>
      <c r="AG10" s="30"/>
    </row>
    <row r="11" spans="1:33" ht="27.5" customHeight="1" x14ac:dyDescent="0.2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30"/>
      <c r="AD11" s="30"/>
      <c r="AE11" s="30"/>
      <c r="AF11" s="30"/>
      <c r="AG11" s="30"/>
    </row>
    <row r="12" spans="1:33" ht="27.5" customHeight="1" x14ac:dyDescent="0.2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30"/>
      <c r="AD12" s="30"/>
      <c r="AE12" s="30"/>
      <c r="AF12" s="30"/>
      <c r="AG12" s="30"/>
    </row>
    <row r="13" spans="1:33" ht="27.5" customHeight="1" x14ac:dyDescent="0.2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30"/>
      <c r="AD13" s="30"/>
      <c r="AE13" s="30"/>
      <c r="AF13" s="30"/>
      <c r="AG13" s="30"/>
    </row>
    <row r="14" spans="1:33" ht="27.5" customHeight="1" x14ac:dyDescent="0.2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30"/>
      <c r="AD14" s="30"/>
      <c r="AE14" s="30"/>
      <c r="AF14" s="30"/>
      <c r="AG14" s="30"/>
    </row>
    <row r="15" spans="1:33" ht="27.5" customHeight="1" x14ac:dyDescent="0.2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30"/>
      <c r="AD15" s="30"/>
      <c r="AE15" s="30"/>
      <c r="AF15" s="30"/>
      <c r="AG15" s="30"/>
    </row>
    <row r="16" spans="1:33" ht="27.5" customHeight="1" x14ac:dyDescent="0.2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0"/>
      <c r="AD16" s="30"/>
      <c r="AE16" s="30"/>
      <c r="AF16" s="30"/>
      <c r="AG16" s="30"/>
    </row>
    <row r="17" spans="1:33" ht="27.5" customHeight="1" x14ac:dyDescent="0.2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0"/>
      <c r="AD17" s="30"/>
      <c r="AE17" s="30"/>
      <c r="AF17" s="30"/>
      <c r="AG17" s="30"/>
    </row>
    <row r="18" spans="1:33" ht="27.5" customHeight="1" x14ac:dyDescent="0.2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0"/>
      <c r="AD18" s="30"/>
      <c r="AE18" s="30"/>
      <c r="AF18" s="30"/>
      <c r="AG18" s="30"/>
    </row>
    <row r="19" spans="1:33" ht="27.5" customHeight="1" x14ac:dyDescent="0.2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0"/>
      <c r="AD19" s="30"/>
      <c r="AE19" s="30"/>
      <c r="AF19" s="30"/>
      <c r="AG19" s="30"/>
    </row>
    <row r="20" spans="1:33" ht="27.5" customHeight="1" x14ac:dyDescent="0.2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0"/>
      <c r="AD20" s="30"/>
      <c r="AE20" s="30"/>
      <c r="AF20" s="30"/>
      <c r="AG20" s="30"/>
    </row>
    <row r="21" spans="1:33" ht="27.5" customHeight="1" x14ac:dyDescent="0.2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0"/>
      <c r="AD21" s="30"/>
      <c r="AE21" s="30"/>
      <c r="AF21" s="30"/>
      <c r="AG21" s="30"/>
    </row>
    <row r="22" spans="1:33" ht="27.5" customHeight="1" x14ac:dyDescent="0.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30"/>
      <c r="AD22" s="30"/>
      <c r="AE22" s="30"/>
      <c r="AF22" s="30"/>
      <c r="AG22" s="30"/>
    </row>
    <row r="23" spans="1:33" ht="27.5" customHeight="1" x14ac:dyDescent="0.2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0"/>
      <c r="AD23" s="30"/>
      <c r="AE23" s="30"/>
      <c r="AF23" s="30"/>
      <c r="AG23" s="30"/>
    </row>
    <row r="24" spans="1:33" ht="27.5" customHeight="1" x14ac:dyDescent="0.2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0"/>
      <c r="AD24" s="30"/>
      <c r="AE24" s="30"/>
      <c r="AF24" s="30"/>
      <c r="AG24" s="30"/>
    </row>
    <row r="25" spans="1:33" ht="27.5" customHeight="1" x14ac:dyDescent="0.2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0"/>
      <c r="AD25" s="30"/>
      <c r="AE25" s="30"/>
      <c r="AF25" s="30"/>
      <c r="AG25" s="30"/>
    </row>
    <row r="26" spans="1:33" ht="27.5" customHeight="1" x14ac:dyDescent="0.2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0"/>
      <c r="AD26" s="30"/>
      <c r="AE26" s="30"/>
      <c r="AF26" s="30"/>
      <c r="AG26" s="30"/>
    </row>
    <row r="27" spans="1:33" ht="27.5" customHeight="1" x14ac:dyDescent="0.2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0"/>
      <c r="AD27" s="30"/>
      <c r="AE27" s="30"/>
      <c r="AF27" s="30"/>
      <c r="AG27" s="30"/>
    </row>
    <row r="28" spans="1:33" ht="27.5" customHeight="1" x14ac:dyDescent="0.2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0"/>
      <c r="AD28" s="30"/>
      <c r="AE28" s="30"/>
      <c r="AF28" s="30"/>
      <c r="AG28" s="30"/>
    </row>
    <row r="29" spans="1:33" ht="27.5" customHeight="1" x14ac:dyDescent="0.2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0"/>
      <c r="AD29" s="30"/>
      <c r="AE29" s="30"/>
      <c r="AF29" s="30"/>
      <c r="AG29" s="30"/>
    </row>
    <row r="30" spans="1:33" ht="27.5" customHeight="1" x14ac:dyDescent="0.2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0"/>
      <c r="AD30" s="30"/>
      <c r="AE30" s="30"/>
      <c r="AF30" s="30"/>
      <c r="AG30" s="30"/>
    </row>
    <row r="31" spans="1:33" ht="27.5" customHeight="1" x14ac:dyDescent="0.2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7"/>
      <c r="AF31" s="32"/>
      <c r="AG31" s="38"/>
    </row>
  </sheetData>
  <mergeCells count="11">
    <mergeCell ref="AA2:AB2"/>
    <mergeCell ref="W2:Z2"/>
    <mergeCell ref="A2:C2"/>
    <mergeCell ref="D3:I3"/>
    <mergeCell ref="J3:K3"/>
    <mergeCell ref="M3:P3"/>
    <mergeCell ref="D2:P2"/>
    <mergeCell ref="Q3:S3"/>
    <mergeCell ref="T3:V3"/>
    <mergeCell ref="Q2:V2"/>
    <mergeCell ref="A1:A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 Assign Marking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Mairead Meagher</cp:lastModifiedBy>
  <dcterms:modified xsi:type="dcterms:W3CDTF">2025-03-30T18:45:42Z</dcterms:modified>
</cp:coreProperties>
</file>